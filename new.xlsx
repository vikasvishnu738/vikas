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P:\Department\06_Total_Vehicle_Quality_Management\SHARE\11_Intern Department\42_Aditya\Aditya_source\"/>
    </mc:Choice>
  </mc:AlternateContent>
  <xr:revisionPtr revIDLastSave="0" documentId="13_ncr:1_{1FA629D6-1EB4-4B65-ABCD-B5E6F7419B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G34" i="1"/>
  <c r="AF34" i="1"/>
  <c r="AE34" i="1"/>
  <c r="AD34" i="1"/>
  <c r="AC34" i="1"/>
  <c r="AB34" i="1"/>
  <c r="AA34" i="1"/>
  <c r="Z34" i="1"/>
  <c r="Y34" i="1"/>
  <c r="N34" i="1"/>
  <c r="M34" i="1"/>
  <c r="L34" i="1"/>
  <c r="K34" i="1"/>
  <c r="J34" i="1"/>
  <c r="I34" i="1"/>
  <c r="H34" i="1"/>
  <c r="G34" i="1"/>
  <c r="F34" i="1"/>
  <c r="E34" i="1"/>
  <c r="AH33" i="1"/>
  <c r="AH35" i="1" s="1"/>
  <c r="AG33" i="1"/>
  <c r="AG35" i="1" s="1"/>
  <c r="AF33" i="1"/>
  <c r="AF35" i="1" s="1"/>
  <c r="AE33" i="1"/>
  <c r="AE35" i="1" s="1"/>
  <c r="AD33" i="1"/>
  <c r="AD35" i="1" s="1"/>
  <c r="AC33" i="1"/>
  <c r="AC35" i="1" s="1"/>
  <c r="AB33" i="1"/>
  <c r="AB35" i="1" s="1"/>
  <c r="AA33" i="1"/>
  <c r="AA35" i="1" s="1"/>
  <c r="Z33" i="1"/>
  <c r="Z35" i="1" s="1"/>
  <c r="Y33" i="1"/>
  <c r="Y35" i="1" s="1"/>
  <c r="X33" i="1"/>
  <c r="X34" i="1" s="1"/>
  <c r="W33" i="1"/>
  <c r="W34" i="1" s="1"/>
  <c r="V33" i="1"/>
  <c r="V34" i="1" s="1"/>
  <c r="U33" i="1"/>
  <c r="U35" i="1" s="1"/>
  <c r="T33" i="1"/>
  <c r="T34" i="1" s="1"/>
  <c r="S33" i="1"/>
  <c r="S34" i="1" s="1"/>
  <c r="R33" i="1"/>
  <c r="R35" i="1" s="1"/>
  <c r="Q33" i="1"/>
  <c r="Q35" i="1" s="1"/>
  <c r="P33" i="1"/>
  <c r="P35" i="1" s="1"/>
  <c r="O33" i="1"/>
  <c r="O35" i="1" s="1"/>
  <c r="N33" i="1"/>
  <c r="N35" i="1" s="1"/>
  <c r="M33" i="1"/>
  <c r="M35" i="1" s="1"/>
  <c r="L33" i="1"/>
  <c r="L35" i="1" s="1"/>
  <c r="K33" i="1"/>
  <c r="K35" i="1" s="1"/>
  <c r="J33" i="1"/>
  <c r="J35" i="1" s="1"/>
  <c r="I33" i="1"/>
  <c r="I35" i="1" s="1"/>
  <c r="H33" i="1"/>
  <c r="H35" i="1" s="1"/>
  <c r="G33" i="1"/>
  <c r="G35" i="1" s="1"/>
  <c r="F33" i="1"/>
  <c r="F35" i="1" s="1"/>
  <c r="E33" i="1"/>
  <c r="E35" i="1" s="1"/>
  <c r="AK32" i="1"/>
  <c r="D32" i="1"/>
  <c r="AK31" i="1"/>
  <c r="D31" i="1"/>
  <c r="AK30" i="1"/>
  <c r="D30" i="1"/>
  <c r="AK29" i="1"/>
  <c r="D29" i="1"/>
  <c r="AK28" i="1"/>
  <c r="D28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AJ3" i="1" s="1"/>
  <c r="AH19" i="1"/>
  <c r="AG19" i="1"/>
  <c r="AF19" i="1"/>
  <c r="AE19" i="1"/>
  <c r="AD19" i="1"/>
  <c r="AC19" i="1"/>
  <c r="AB19" i="1"/>
  <c r="AA19" i="1"/>
  <c r="Z19" i="1"/>
  <c r="Z20" i="1" s="1"/>
  <c r="Y19" i="1"/>
  <c r="Y20" i="1" s="1"/>
  <c r="X19" i="1"/>
  <c r="X20" i="1" s="1"/>
  <c r="W19" i="1"/>
  <c r="W20" i="1" s="1"/>
  <c r="V19" i="1"/>
  <c r="U19" i="1"/>
  <c r="T19" i="1"/>
  <c r="S19" i="1"/>
  <c r="R19" i="1"/>
  <c r="AR4" i="1" s="1"/>
  <c r="AR3" i="1" s="1"/>
  <c r="Q19" i="1"/>
  <c r="P19" i="1"/>
  <c r="O19" i="1"/>
  <c r="N19" i="1"/>
  <c r="M19" i="1"/>
  <c r="L19" i="1"/>
  <c r="K19" i="1"/>
  <c r="J19" i="1"/>
  <c r="I19" i="1"/>
  <c r="H19" i="1"/>
  <c r="G19" i="1"/>
  <c r="F19" i="1"/>
  <c r="F20" i="1" s="1"/>
  <c r="E19" i="1"/>
  <c r="E20" i="1" s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A20" i="1" l="1"/>
  <c r="G20" i="1"/>
  <c r="AH20" i="1"/>
  <c r="J20" i="1"/>
  <c r="AJ4" i="1"/>
  <c r="AC20" i="1"/>
  <c r="AB20" i="1"/>
  <c r="N20" i="1"/>
  <c r="L20" i="1"/>
  <c r="AE20" i="1"/>
  <c r="K20" i="1"/>
  <c r="AD20" i="1"/>
  <c r="I20" i="1"/>
  <c r="P20" i="1"/>
  <c r="O20" i="1"/>
  <c r="AG20" i="1"/>
  <c r="M20" i="1"/>
  <c r="AF20" i="1"/>
  <c r="H20" i="1"/>
  <c r="Q20" i="1"/>
  <c r="S20" i="1"/>
  <c r="T20" i="1"/>
  <c r="U20" i="1"/>
  <c r="V20" i="1"/>
  <c r="S35" i="1"/>
  <c r="T35" i="1"/>
  <c r="V35" i="1"/>
  <c r="W35" i="1"/>
  <c r="X35" i="1"/>
  <c r="O34" i="1"/>
  <c r="D37" i="1" s="1"/>
  <c r="R20" i="1"/>
  <c r="P34" i="1"/>
  <c r="Q34" i="1"/>
  <c r="R34" i="1"/>
  <c r="U34" i="1"/>
  <c r="D3" i="1"/>
  <c r="AJ5" i="1" l="1"/>
  <c r="D4" i="1"/>
  <c r="AJ6" i="1" l="1"/>
  <c r="D5" i="1"/>
  <c r="D6" i="1" l="1"/>
  <c r="AJ7" i="1"/>
  <c r="AJ8" i="1" l="1"/>
  <c r="D7" i="1"/>
  <c r="AJ9" i="1" l="1"/>
  <c r="D8" i="1"/>
  <c r="AJ10" i="1" l="1"/>
  <c r="D9" i="1"/>
  <c r="AJ11" i="1" l="1"/>
  <c r="D10" i="1"/>
  <c r="D11" i="1" l="1"/>
  <c r="AJ12" i="1"/>
  <c r="AJ13" i="1" l="1"/>
  <c r="D12" i="1"/>
  <c r="AJ14" i="1" l="1"/>
  <c r="D13" i="1"/>
  <c r="AJ15" i="1" l="1"/>
  <c r="D14" i="1"/>
  <c r="AJ16" i="1" l="1"/>
  <c r="D15" i="1"/>
  <c r="AJ17" i="1" l="1"/>
  <c r="D16" i="1"/>
  <c r="AJ18" i="1" l="1"/>
  <c r="D17" i="1"/>
  <c r="D18" i="1" l="1"/>
  <c r="AI22" i="1"/>
  <c r="AR5" i="1" s="1"/>
  <c r="D23" i="1" l="1"/>
  <c r="AO2" i="1" a="1"/>
  <c r="AO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<sst xmlns="http://schemas.openxmlformats.org/spreadsheetml/2006/main" count="79" uniqueCount="46">
  <si>
    <t>S.NO</t>
  </si>
  <si>
    <t>Name</t>
  </si>
  <si>
    <t>Working Structure</t>
  </si>
  <si>
    <t>%</t>
  </si>
  <si>
    <t>working days</t>
  </si>
  <si>
    <t>Percentage(Achieved)</t>
  </si>
  <si>
    <t>Percentage(Target)</t>
  </si>
  <si>
    <t xml:space="preserve">Metric </t>
  </si>
  <si>
    <t xml:space="preserve">value </t>
  </si>
  <si>
    <t>Total  Working days</t>
  </si>
  <si>
    <t>DATE</t>
  </si>
  <si>
    <t>Poovanna</t>
  </si>
  <si>
    <t>Total to be done</t>
  </si>
  <si>
    <t>TV-435</t>
  </si>
  <si>
    <t>Arun Kumar Nagesh</t>
  </si>
  <si>
    <t>Remaining</t>
  </si>
  <si>
    <t>TV-4350</t>
  </si>
  <si>
    <t>Manikandan Meenakshi Sundaram</t>
  </si>
  <si>
    <t>Achieved</t>
  </si>
  <si>
    <t>Product Audit</t>
  </si>
  <si>
    <t>Total Achieved %</t>
  </si>
  <si>
    <t>Allen John</t>
  </si>
  <si>
    <t>Sivamani</t>
  </si>
  <si>
    <t>Gopi Ravi</t>
  </si>
  <si>
    <t>Prabhu Velayutham</t>
  </si>
  <si>
    <t>TV-4351</t>
  </si>
  <si>
    <t>Uthandaraman Pothigasalam</t>
  </si>
  <si>
    <t>Manivannan</t>
  </si>
  <si>
    <t>Jaganath</t>
  </si>
  <si>
    <t>Loganathan Rangan</t>
  </si>
  <si>
    <t>TV-4352</t>
  </si>
  <si>
    <t>Sulaiman Ali Mohamed Ali</t>
  </si>
  <si>
    <t>Nagarajan Ganesh Kumar</t>
  </si>
  <si>
    <t>Nirmal</t>
  </si>
  <si>
    <t>Global CM</t>
  </si>
  <si>
    <t>TOTAL</t>
  </si>
  <si>
    <t>PERCENTAGE</t>
  </si>
  <si>
    <t>Total %</t>
  </si>
  <si>
    <t>AVERAGE</t>
  </si>
  <si>
    <t>Total count</t>
  </si>
  <si>
    <t>Working Days</t>
  </si>
  <si>
    <t>Chandra KumarVeerappan</t>
  </si>
  <si>
    <t>Balu AnandRamalingam</t>
  </si>
  <si>
    <t>PrasanthSasidharan</t>
  </si>
  <si>
    <t>Sathish</t>
  </si>
  <si>
    <t>Ashok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</si>
</sst>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;[Red]0"/>
  </numFmts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30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4"/>
      <color rgb="FF000000"/>
      <name val="BMW Group"/>
    </font>
    <font>
      <sz val="14"/>
      <name val="Arial"/>
      <family val="2"/>
    </font>
    <font>
      <sz val="11"/>
      <name val="Calibri Light"/>
      <family val="3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 tint="0.14996795556505021"/>
      </left>
      <right style="medium">
        <color theme="1" tint="0.14996795556505021"/>
      </right>
      <top style="medium">
        <color indexed="64"/>
      </top>
      <bottom style="medium">
        <color theme="1" tint="0.14996795556505021"/>
      </bottom>
      <diagonal/>
    </border>
    <border>
      <left/>
      <right style="medium">
        <color theme="1" tint="0.14996795556505021"/>
      </right>
      <top style="medium">
        <color indexed="64"/>
      </top>
      <bottom style="medium">
        <color theme="1" tint="0.1499679555650502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6" xfId="0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164" fontId="0" fillId="0" borderId="0" xfId="0" applyNumberFormat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8" xfId="0" applyNumberFormat="1" applyBorder="1"/>
    <xf numFmtId="0" fontId="4" fillId="6" borderId="7" xfId="0" applyFont="1" applyFill="1" applyBorder="1" applyAlignment="1">
      <alignment horizontal="center" vertical="center"/>
    </xf>
    <xf numFmtId="165" fontId="0" fillId="0" borderId="0" xfId="0" applyNumberForma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44</xdr:row>
      <xdr:rowOff>0</xdr:rowOff>
    </xdr:from>
    <xdr:to>
      <xdr:col>28</xdr:col>
      <xdr:colOff>357187</xdr:colOff>
      <xdr:row>115</xdr:row>
      <xdr:rowOff>85592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7E2AD-5011-FC77-F14A-999D65D3B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4" y="10263188"/>
          <a:ext cx="17073563" cy="13611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"/>
  <sheetViews>
    <sheetView tabSelected="1" topLeftCell="A13" zoomScale="40" zoomScaleNormal="40" workbookViewId="0">
      <selection activeCell="AM54" sqref="AM54"/>
    </sheetView>
  </sheetViews>
  <sheetFormatPr defaultRowHeight="15" x14ac:dyDescent="0.25"/>
  <sheetData>
    <row r="1" spans="1:45" ht="63" x14ac:dyDescent="0.6">
      <c r="A1" s="1" t="s">
        <v>0</v>
      </c>
      <c r="B1" s="2" t="s">
        <v>1</v>
      </c>
      <c r="C1" s="2" t="s">
        <v>2</v>
      </c>
      <c r="D1" s="3" t="s">
        <v>3</v>
      </c>
      <c r="E1" s="29">
        <v>45992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t="s">
        <v>3</v>
      </c>
      <c r="AJ1" s="31" t="s">
        <v>4</v>
      </c>
      <c r="AN1" s="4" t="s">
        <v>1</v>
      </c>
      <c r="AO1" s="5" t="s">
        <v>5</v>
      </c>
      <c r="AP1" s="5" t="s">
        <v>6</v>
      </c>
      <c r="AQ1" s="5" t="s">
        <v>7</v>
      </c>
      <c r="AR1" s="5" t="s">
        <v>8</v>
      </c>
      <c r="AS1" s="5" t="s">
        <v>9</v>
      </c>
    </row>
    <row r="2" spans="1:45" ht="16.5" thickBot="1" x14ac:dyDescent="0.3">
      <c r="A2" s="6" t="s">
        <v>10</v>
      </c>
      <c r="B2" s="7"/>
      <c r="C2" s="7"/>
      <c r="E2" s="6">
        <v>1</v>
      </c>
      <c r="F2" s="6">
        <v>2</v>
      </c>
      <c r="G2" s="6">
        <v>3</v>
      </c>
      <c r="H2" s="6">
        <v>4</v>
      </c>
      <c r="I2" s="6">
        <v>5</v>
      </c>
      <c r="J2" s="6">
        <v>6</v>
      </c>
      <c r="K2" s="6">
        <v>7</v>
      </c>
      <c r="L2" s="6">
        <v>8</v>
      </c>
      <c r="M2" s="6">
        <v>9</v>
      </c>
      <c r="N2" s="6">
        <v>10</v>
      </c>
      <c r="O2" s="6">
        <v>11</v>
      </c>
      <c r="P2" s="6">
        <v>12</v>
      </c>
      <c r="Q2" s="6">
        <v>13</v>
      </c>
      <c r="R2" s="6">
        <v>14</v>
      </c>
      <c r="S2" s="6">
        <v>15</v>
      </c>
      <c r="T2" s="6">
        <v>16</v>
      </c>
      <c r="U2" s="6">
        <v>17</v>
      </c>
      <c r="V2" s="6">
        <v>18</v>
      </c>
      <c r="W2" s="6">
        <v>19</v>
      </c>
      <c r="X2" s="6">
        <v>20</v>
      </c>
      <c r="Y2" s="6">
        <v>21</v>
      </c>
      <c r="Z2" s="6">
        <v>22</v>
      </c>
      <c r="AA2" s="6">
        <v>23</v>
      </c>
      <c r="AB2" s="6">
        <v>24</v>
      </c>
      <c r="AC2" s="6">
        <v>25</v>
      </c>
      <c r="AD2" s="6">
        <v>26</v>
      </c>
      <c r="AE2" s="6">
        <v>27</v>
      </c>
      <c r="AF2" s="6">
        <v>28</v>
      </c>
      <c r="AG2" s="6">
        <v>29</v>
      </c>
      <c r="AH2" s="6">
        <v>30</v>
      </c>
      <c r="AJ2" s="31"/>
      <c r="AN2" s="6" t="s">
        <v>11</v>
      </c>
      <c r="AO2" s="8" cm="1">
        <f t="array" ref="AO2:AO17">D3:D18</f>
        <v>100</v>
      </c>
      <c r="AP2" s="9">
        <v>60</v>
      </c>
      <c r="AQ2" s="6" t="s">
        <v>12</v>
      </c>
      <c r="AR2" s="9">
        <v>192</v>
      </c>
      <c r="AS2" s="9">
        <v>20</v>
      </c>
    </row>
    <row r="3" spans="1:45" ht="18.75" thickBot="1" x14ac:dyDescent="0.3">
      <c r="A3" s="10">
        <v>1</v>
      </c>
      <c r="B3" s="11" t="s">
        <v>11</v>
      </c>
      <c r="C3" s="10" t="s">
        <v>13</v>
      </c>
      <c r="D3" s="12">
        <f>IFERROR(AI3/(AJ3)*100,"")</f>
        <v>100</v>
      </c>
      <c r="E3" s="13">
        <v>1</v>
      </c>
      <c r="F3" s="13">
        <v>1</v>
      </c>
      <c r="G3" s="13">
        <v>0</v>
      </c>
      <c r="H3" s="13"/>
      <c r="I3" s="13"/>
      <c r="J3" s="13"/>
      <c r="K3" s="13"/>
      <c r="L3" s="13">
        <v>2</v>
      </c>
      <c r="M3" s="13">
        <v>1</v>
      </c>
      <c r="N3" s="13">
        <v>1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4">
        <f>SUM(E3:AF3)</f>
        <v>6</v>
      </c>
      <c r="AJ3" s="1">
        <f>SUM(E21:AH21)</f>
        <v>6</v>
      </c>
      <c r="AN3" s="6" t="s">
        <v>14</v>
      </c>
      <c r="AO3" s="8">
        <v>33.333333333333329</v>
      </c>
      <c r="AP3" s="9">
        <v>60</v>
      </c>
      <c r="AQ3" s="6" t="s">
        <v>15</v>
      </c>
      <c r="AR3" s="6">
        <f>AR2-AR4</f>
        <v>159</v>
      </c>
      <c r="AS3" s="9">
        <v>20</v>
      </c>
    </row>
    <row r="4" spans="1:45" ht="18.75" thickBot="1" x14ac:dyDescent="0.3">
      <c r="A4" s="15">
        <v>2</v>
      </c>
      <c r="B4" s="11" t="s">
        <v>14</v>
      </c>
      <c r="C4" s="15" t="s">
        <v>16</v>
      </c>
      <c r="D4" s="12">
        <f t="shared" ref="D4:D15" si="0">IFERROR(AI4/(AJ4)*100,"")</f>
        <v>33.333333333333329</v>
      </c>
      <c r="E4" s="13">
        <v>0</v>
      </c>
      <c r="F4" s="13">
        <v>0</v>
      </c>
      <c r="G4" s="13">
        <v>0</v>
      </c>
      <c r="H4" s="13"/>
      <c r="I4" s="13"/>
      <c r="J4" s="13"/>
      <c r="K4" s="13"/>
      <c r="L4" s="13">
        <v>0</v>
      </c>
      <c r="M4" s="13">
        <v>0</v>
      </c>
      <c r="N4" s="13">
        <v>2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4">
        <f t="shared" ref="AI4:AI18" si="1">SUM(E4:AF4)</f>
        <v>2</v>
      </c>
      <c r="AJ4" s="1">
        <f>AJ3</f>
        <v>6</v>
      </c>
      <c r="AN4" s="6" t="s">
        <v>17</v>
      </c>
      <c r="AO4" s="8">
        <v>66.666666666666657</v>
      </c>
      <c r="AP4" s="9">
        <v>60</v>
      </c>
      <c r="AQ4" s="6" t="s">
        <v>18</v>
      </c>
      <c r="AR4" s="6">
        <f>SUM(E19:AH19)</f>
        <v>33</v>
      </c>
      <c r="AS4" s="9">
        <v>20</v>
      </c>
    </row>
    <row r="5" spans="1:45" ht="18.75" thickBot="1" x14ac:dyDescent="0.3">
      <c r="A5" s="15">
        <v>3</v>
      </c>
      <c r="B5" s="11" t="s">
        <v>17</v>
      </c>
      <c r="C5" s="15" t="s">
        <v>16</v>
      </c>
      <c r="D5" s="12">
        <f t="shared" si="0"/>
        <v>66.666666666666657</v>
      </c>
      <c r="E5" s="13">
        <v>2</v>
      </c>
      <c r="F5" s="13">
        <v>2</v>
      </c>
      <c r="G5" s="13">
        <v>0</v>
      </c>
      <c r="H5" s="13"/>
      <c r="I5" s="13"/>
      <c r="J5" s="13"/>
      <c r="K5" s="13"/>
      <c r="L5" s="13">
        <v>0</v>
      </c>
      <c r="M5" s="13">
        <v>0</v>
      </c>
      <c r="N5" s="13">
        <v>0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>
        <f t="shared" si="1"/>
        <v>4</v>
      </c>
      <c r="AJ5" s="1">
        <f t="shared" ref="AJ5:AJ18" si="2">AJ4</f>
        <v>6</v>
      </c>
      <c r="AN5" s="6" t="s">
        <v>19</v>
      </c>
      <c r="AO5" s="8">
        <v>33.333333333333329</v>
      </c>
      <c r="AP5" s="9">
        <v>60</v>
      </c>
      <c r="AQ5" s="6" t="s">
        <v>20</v>
      </c>
      <c r="AR5" s="6">
        <f>AI22</f>
        <v>34.375</v>
      </c>
      <c r="AS5" s="9">
        <v>20</v>
      </c>
    </row>
    <row r="6" spans="1:45" ht="18.75" thickBot="1" x14ac:dyDescent="0.3">
      <c r="A6" s="10">
        <v>4</v>
      </c>
      <c r="B6" s="11" t="s">
        <v>19</v>
      </c>
      <c r="C6" s="15" t="s">
        <v>16</v>
      </c>
      <c r="D6" s="12">
        <f t="shared" si="0"/>
        <v>33.333333333333329</v>
      </c>
      <c r="E6" s="13">
        <v>0</v>
      </c>
      <c r="F6" s="13">
        <v>0</v>
      </c>
      <c r="G6" s="13">
        <v>0</v>
      </c>
      <c r="H6" s="13"/>
      <c r="I6" s="13"/>
      <c r="J6" s="13"/>
      <c r="K6" s="13"/>
      <c r="L6" s="13">
        <v>0</v>
      </c>
      <c r="M6" s="13">
        <v>1</v>
      </c>
      <c r="N6" s="13">
        <v>1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4">
        <f t="shared" si="1"/>
        <v>2</v>
      </c>
      <c r="AJ6" s="1">
        <f t="shared" si="2"/>
        <v>6</v>
      </c>
      <c r="AN6" s="6" t="s">
        <v>21</v>
      </c>
      <c r="AO6" s="8">
        <v>0</v>
      </c>
      <c r="AP6" s="9">
        <v>60</v>
      </c>
      <c r="AQ6" s="1"/>
      <c r="AR6" s="1"/>
      <c r="AS6" s="1"/>
    </row>
    <row r="7" spans="1:45" ht="18.75" thickBot="1" x14ac:dyDescent="0.3">
      <c r="A7" s="15">
        <v>5</v>
      </c>
      <c r="B7" s="11" t="s">
        <v>21</v>
      </c>
      <c r="C7" s="15" t="s">
        <v>16</v>
      </c>
      <c r="D7" s="12">
        <f t="shared" si="0"/>
        <v>0</v>
      </c>
      <c r="E7" s="13">
        <v>0</v>
      </c>
      <c r="F7" s="13">
        <v>0</v>
      </c>
      <c r="G7" s="13">
        <v>0</v>
      </c>
      <c r="H7" s="13"/>
      <c r="I7" s="13"/>
      <c r="J7" s="13"/>
      <c r="K7" s="13"/>
      <c r="L7" s="13">
        <v>0</v>
      </c>
      <c r="M7" s="13">
        <v>0</v>
      </c>
      <c r="N7" s="13">
        <v>0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4">
        <f t="shared" si="1"/>
        <v>0</v>
      </c>
      <c r="AJ7" s="1">
        <f t="shared" si="2"/>
        <v>6</v>
      </c>
      <c r="AN7" s="6" t="s">
        <v>22</v>
      </c>
      <c r="AO7" s="8">
        <v>0</v>
      </c>
      <c r="AP7" s="9">
        <v>60</v>
      </c>
      <c r="AQ7" s="1"/>
      <c r="AR7" s="1"/>
      <c r="AS7" s="1"/>
    </row>
    <row r="8" spans="1:45" ht="18.75" thickBot="1" x14ac:dyDescent="0.3">
      <c r="A8" s="15">
        <v>6</v>
      </c>
      <c r="B8" s="11" t="s">
        <v>22</v>
      </c>
      <c r="C8" s="15" t="s">
        <v>16</v>
      </c>
      <c r="D8" s="12">
        <f t="shared" si="0"/>
        <v>0</v>
      </c>
      <c r="E8" s="13">
        <v>0</v>
      </c>
      <c r="F8" s="13">
        <v>0</v>
      </c>
      <c r="G8" s="13">
        <v>0</v>
      </c>
      <c r="H8" s="13"/>
      <c r="I8" s="13"/>
      <c r="J8" s="13"/>
      <c r="K8" s="13"/>
      <c r="L8" s="13">
        <v>0</v>
      </c>
      <c r="M8" s="13">
        <v>0</v>
      </c>
      <c r="N8" s="13">
        <v>0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>
        <f t="shared" si="1"/>
        <v>0</v>
      </c>
      <c r="AJ8" s="1">
        <f t="shared" si="2"/>
        <v>6</v>
      </c>
      <c r="AN8" s="6" t="s">
        <v>23</v>
      </c>
      <c r="AO8" s="8">
        <v>0</v>
      </c>
      <c r="AP8" s="9">
        <v>60</v>
      </c>
      <c r="AQ8" s="1"/>
      <c r="AR8" s="1"/>
      <c r="AS8" s="1"/>
    </row>
    <row r="9" spans="1:45" ht="18.75" thickBot="1" x14ac:dyDescent="0.3">
      <c r="A9" s="10">
        <v>7</v>
      </c>
      <c r="B9" s="11" t="s">
        <v>23</v>
      </c>
      <c r="C9" s="15" t="s">
        <v>16</v>
      </c>
      <c r="D9" s="12">
        <f>IFERROR(AI9/(AJ9)*100,"")</f>
        <v>0</v>
      </c>
      <c r="E9" s="13">
        <v>0</v>
      </c>
      <c r="F9" s="13">
        <v>0</v>
      </c>
      <c r="G9" s="13">
        <v>0</v>
      </c>
      <c r="H9" s="13"/>
      <c r="I9" s="13"/>
      <c r="J9" s="13"/>
      <c r="K9" s="13"/>
      <c r="L9" s="13">
        <v>0</v>
      </c>
      <c r="M9" s="13">
        <v>0</v>
      </c>
      <c r="N9" s="13">
        <v>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4">
        <f t="shared" si="1"/>
        <v>0</v>
      </c>
      <c r="AJ9" s="1">
        <f t="shared" si="2"/>
        <v>6</v>
      </c>
      <c r="AN9" s="6" t="s">
        <v>24</v>
      </c>
      <c r="AO9" s="8">
        <v>133.33333333333331</v>
      </c>
      <c r="AP9" s="9">
        <v>60</v>
      </c>
      <c r="AQ9" s="1"/>
      <c r="AR9" s="1"/>
      <c r="AS9" s="1"/>
    </row>
    <row r="10" spans="1:45" ht="18.75" thickBot="1" x14ac:dyDescent="0.3">
      <c r="A10" s="15">
        <v>8</v>
      </c>
      <c r="B10" s="11" t="s">
        <v>24</v>
      </c>
      <c r="C10" s="15" t="s">
        <v>25</v>
      </c>
      <c r="D10" s="12">
        <f t="shared" si="0"/>
        <v>133.33333333333331</v>
      </c>
      <c r="E10" s="13">
        <v>0</v>
      </c>
      <c r="F10" s="13">
        <v>0</v>
      </c>
      <c r="G10" s="13">
        <v>3</v>
      </c>
      <c r="H10" s="13"/>
      <c r="I10" s="13"/>
      <c r="J10" s="13"/>
      <c r="K10" s="13"/>
      <c r="L10" s="13">
        <v>0</v>
      </c>
      <c r="M10" s="13">
        <v>4</v>
      </c>
      <c r="N10" s="13">
        <v>1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4">
        <f t="shared" si="1"/>
        <v>8</v>
      </c>
      <c r="AJ10" s="1">
        <f t="shared" si="2"/>
        <v>6</v>
      </c>
      <c r="AN10" s="6" t="s">
        <v>26</v>
      </c>
      <c r="AO10" s="8">
        <v>66.666666666666657</v>
      </c>
      <c r="AP10" s="9">
        <v>60</v>
      </c>
      <c r="AQ10" s="1"/>
      <c r="AR10" s="1"/>
      <c r="AS10" s="1"/>
    </row>
    <row r="11" spans="1:45" ht="18.75" thickBot="1" x14ac:dyDescent="0.3">
      <c r="A11" s="10">
        <v>9</v>
      </c>
      <c r="B11" s="11" t="s">
        <v>26</v>
      </c>
      <c r="C11" s="15" t="s">
        <v>25</v>
      </c>
      <c r="D11" s="12">
        <f t="shared" si="0"/>
        <v>66.666666666666657</v>
      </c>
      <c r="E11" s="13">
        <v>4</v>
      </c>
      <c r="F11" s="13">
        <v>0</v>
      </c>
      <c r="G11" s="13">
        <v>0</v>
      </c>
      <c r="H11" s="13"/>
      <c r="I11" s="13"/>
      <c r="J11" s="13"/>
      <c r="K11" s="13"/>
      <c r="L11" s="13">
        <v>0</v>
      </c>
      <c r="M11" s="13">
        <v>0</v>
      </c>
      <c r="N11" s="13">
        <v>0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>
        <f t="shared" si="1"/>
        <v>4</v>
      </c>
      <c r="AJ11" s="1">
        <f t="shared" si="2"/>
        <v>6</v>
      </c>
      <c r="AN11" s="6" t="s">
        <v>27</v>
      </c>
      <c r="AO11" s="8">
        <v>50</v>
      </c>
      <c r="AP11" s="9">
        <v>60</v>
      </c>
      <c r="AQ11" s="1"/>
      <c r="AR11" s="1"/>
      <c r="AS11" s="1"/>
    </row>
    <row r="12" spans="1:45" ht="18.75" thickBot="1" x14ac:dyDescent="0.3">
      <c r="A12" s="15">
        <v>10</v>
      </c>
      <c r="B12" s="11" t="s">
        <v>27</v>
      </c>
      <c r="C12" s="15" t="s">
        <v>25</v>
      </c>
      <c r="D12" s="12">
        <f t="shared" si="0"/>
        <v>50</v>
      </c>
      <c r="E12" s="13">
        <v>0</v>
      </c>
      <c r="F12" s="13">
        <v>1</v>
      </c>
      <c r="G12" s="13">
        <v>0</v>
      </c>
      <c r="H12" s="13"/>
      <c r="I12" s="13"/>
      <c r="J12" s="13"/>
      <c r="K12" s="13"/>
      <c r="L12" s="13">
        <v>0</v>
      </c>
      <c r="M12" s="13">
        <v>0</v>
      </c>
      <c r="N12" s="13">
        <v>2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>
        <f t="shared" si="1"/>
        <v>3</v>
      </c>
      <c r="AJ12" s="1">
        <f t="shared" si="2"/>
        <v>6</v>
      </c>
      <c r="AN12" s="6" t="s">
        <v>28</v>
      </c>
      <c r="AO12" s="8">
        <v>16.666666666666664</v>
      </c>
      <c r="AP12" s="9">
        <v>60</v>
      </c>
      <c r="AQ12" s="1"/>
      <c r="AR12" s="1"/>
      <c r="AS12" s="1"/>
    </row>
    <row r="13" spans="1:45" ht="18.75" thickBot="1" x14ac:dyDescent="0.3">
      <c r="A13" s="15">
        <v>11</v>
      </c>
      <c r="B13" s="11" t="s">
        <v>28</v>
      </c>
      <c r="C13" s="15" t="s">
        <v>25</v>
      </c>
      <c r="D13" s="12">
        <f t="shared" si="0"/>
        <v>16.666666666666664</v>
      </c>
      <c r="E13" s="13">
        <v>0</v>
      </c>
      <c r="F13" s="13">
        <v>1</v>
      </c>
      <c r="G13" s="13">
        <v>0</v>
      </c>
      <c r="H13" s="13"/>
      <c r="I13" s="13"/>
      <c r="J13" s="13"/>
      <c r="K13" s="13"/>
      <c r="L13" s="13">
        <v>0</v>
      </c>
      <c r="M13" s="13">
        <v>0</v>
      </c>
      <c r="N13" s="13">
        <v>0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4">
        <f t="shared" si="1"/>
        <v>1</v>
      </c>
      <c r="AJ13" s="1">
        <f t="shared" si="2"/>
        <v>6</v>
      </c>
      <c r="AN13" s="6" t="s">
        <v>29</v>
      </c>
      <c r="AO13" s="8">
        <v>0</v>
      </c>
      <c r="AP13" s="9">
        <v>60</v>
      </c>
      <c r="AQ13" s="1"/>
      <c r="AR13" s="1"/>
      <c r="AS13" s="1"/>
    </row>
    <row r="14" spans="1:45" ht="18.75" thickBot="1" x14ac:dyDescent="0.3">
      <c r="A14" s="10">
        <v>12</v>
      </c>
      <c r="B14" s="11" t="s">
        <v>29</v>
      </c>
      <c r="C14" s="15" t="s">
        <v>30</v>
      </c>
      <c r="D14" s="12">
        <f t="shared" si="0"/>
        <v>0</v>
      </c>
      <c r="E14" s="13">
        <v>0</v>
      </c>
      <c r="F14" s="13">
        <v>0</v>
      </c>
      <c r="G14" s="13">
        <v>0</v>
      </c>
      <c r="H14" s="13"/>
      <c r="I14" s="13"/>
      <c r="J14" s="13"/>
      <c r="K14" s="13"/>
      <c r="L14" s="13">
        <v>0</v>
      </c>
      <c r="M14" s="13">
        <v>0</v>
      </c>
      <c r="N14" s="13">
        <v>0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4">
        <f t="shared" si="1"/>
        <v>0</v>
      </c>
      <c r="AJ14" s="1">
        <f t="shared" si="2"/>
        <v>6</v>
      </c>
      <c r="AN14" s="6" t="s">
        <v>31</v>
      </c>
      <c r="AO14" s="8">
        <v>0</v>
      </c>
      <c r="AP14" s="9">
        <v>60</v>
      </c>
      <c r="AQ14" s="1"/>
      <c r="AR14" s="1"/>
      <c r="AS14" s="1"/>
    </row>
    <row r="15" spans="1:45" ht="18.75" thickBot="1" x14ac:dyDescent="0.3">
      <c r="A15" s="10">
        <v>13</v>
      </c>
      <c r="B15" s="11" t="s">
        <v>31</v>
      </c>
      <c r="C15" s="15" t="s">
        <v>30</v>
      </c>
      <c r="D15" s="12">
        <f t="shared" si="0"/>
        <v>0</v>
      </c>
      <c r="E15" s="13">
        <v>0</v>
      </c>
      <c r="F15" s="13">
        <v>0</v>
      </c>
      <c r="G15" s="13">
        <v>0</v>
      </c>
      <c r="H15" s="13"/>
      <c r="I15" s="13"/>
      <c r="J15" s="13"/>
      <c r="K15" s="13"/>
      <c r="L15" s="13">
        <v>0</v>
      </c>
      <c r="M15" s="13">
        <v>0</v>
      </c>
      <c r="N15" s="13">
        <v>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4">
        <f t="shared" si="1"/>
        <v>0</v>
      </c>
      <c r="AJ15" s="1">
        <f t="shared" si="2"/>
        <v>6</v>
      </c>
      <c r="AN15" s="6" t="s">
        <v>32</v>
      </c>
      <c r="AO15" s="8">
        <v>0</v>
      </c>
      <c r="AP15" s="9">
        <v>60</v>
      </c>
      <c r="AQ15" s="1"/>
      <c r="AR15" s="1"/>
      <c r="AS15" s="1"/>
    </row>
    <row r="16" spans="1:45" ht="18.75" thickBot="1" x14ac:dyDescent="0.3">
      <c r="A16" s="10">
        <v>14</v>
      </c>
      <c r="B16" s="11" t="s">
        <v>32</v>
      </c>
      <c r="C16" s="15" t="s">
        <v>30</v>
      </c>
      <c r="D16" s="12">
        <f>IFERROR(AI16/(AJ16)*100,"")</f>
        <v>0</v>
      </c>
      <c r="E16" s="13">
        <v>0</v>
      </c>
      <c r="F16" s="13">
        <v>0</v>
      </c>
      <c r="G16" s="13">
        <v>0</v>
      </c>
      <c r="H16" s="13"/>
      <c r="I16" s="13"/>
      <c r="J16" s="13"/>
      <c r="K16" s="13"/>
      <c r="L16" s="13">
        <v>0</v>
      </c>
      <c r="M16" s="13">
        <v>0</v>
      </c>
      <c r="N16" s="13">
        <v>0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6"/>
      <c r="AI16" s="14">
        <f t="shared" si="1"/>
        <v>0</v>
      </c>
      <c r="AJ16" s="1">
        <f t="shared" si="2"/>
        <v>6</v>
      </c>
      <c r="AK16" s="10"/>
      <c r="AL16" s="10"/>
      <c r="AN16" s="6" t="s">
        <v>33</v>
      </c>
      <c r="AO16" s="8">
        <v>0</v>
      </c>
      <c r="AP16" s="9">
        <v>60</v>
      </c>
      <c r="AQ16" s="1"/>
      <c r="AR16" s="1"/>
      <c r="AS16" s="1"/>
    </row>
    <row r="17" spans="1:45" ht="18.75" thickBot="1" x14ac:dyDescent="0.3">
      <c r="A17" s="10">
        <v>15</v>
      </c>
      <c r="B17" s="11" t="s">
        <v>33</v>
      </c>
      <c r="C17" s="15" t="s">
        <v>16</v>
      </c>
      <c r="D17" s="12">
        <f>IFERROR(AI17/(AJ17)*100,"")</f>
        <v>0</v>
      </c>
      <c r="E17" s="17">
        <v>0</v>
      </c>
      <c r="F17" s="17">
        <v>0</v>
      </c>
      <c r="G17" s="18">
        <v>0</v>
      </c>
      <c r="H17" s="17"/>
      <c r="I17" s="17"/>
      <c r="J17" s="17"/>
      <c r="K17" s="17"/>
      <c r="L17" s="13">
        <v>0</v>
      </c>
      <c r="M17" s="13">
        <v>0</v>
      </c>
      <c r="N17" s="13">
        <v>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4">
        <f t="shared" si="1"/>
        <v>0</v>
      </c>
      <c r="AJ17" s="1">
        <f t="shared" si="2"/>
        <v>6</v>
      </c>
      <c r="AN17" s="6" t="s">
        <v>34</v>
      </c>
      <c r="AO17" s="8">
        <v>50</v>
      </c>
      <c r="AP17" s="9">
        <v>60</v>
      </c>
      <c r="AQ17" s="1"/>
      <c r="AR17" s="1"/>
      <c r="AS17" s="1"/>
    </row>
    <row r="18" spans="1:45" ht="18.75" thickBot="1" x14ac:dyDescent="0.3">
      <c r="A18" s="10">
        <v>16</v>
      </c>
      <c r="B18" s="11" t="s">
        <v>34</v>
      </c>
      <c r="C18" s="15" t="s">
        <v>25</v>
      </c>
      <c r="D18" s="12">
        <f>IFERROR(AI18/(AJ18)*100,"")</f>
        <v>50</v>
      </c>
      <c r="E18" s="17">
        <v>0</v>
      </c>
      <c r="F18" s="17">
        <v>0</v>
      </c>
      <c r="G18" s="18">
        <v>0</v>
      </c>
      <c r="H18" s="17"/>
      <c r="I18" s="17"/>
      <c r="J18" s="17"/>
      <c r="K18" s="17"/>
      <c r="L18" s="13">
        <v>0</v>
      </c>
      <c r="M18" s="13">
        <v>1</v>
      </c>
      <c r="N18" s="13">
        <v>2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4">
        <f t="shared" si="1"/>
        <v>3</v>
      </c>
      <c r="AJ18" s="1">
        <f t="shared" si="2"/>
        <v>6</v>
      </c>
      <c r="AN18" s="1"/>
      <c r="AO18" s="1"/>
      <c r="AP18" s="1"/>
      <c r="AQ18" s="1"/>
      <c r="AR18" s="1"/>
      <c r="AS18" s="1"/>
    </row>
    <row r="19" spans="1:45" ht="18" x14ac:dyDescent="0.25">
      <c r="B19" s="19"/>
      <c r="C19" s="20" t="s">
        <v>35</v>
      </c>
      <c r="E19">
        <f t="shared" ref="E19:F19" si="3">SUM(E3:E17)</f>
        <v>7</v>
      </c>
      <c r="F19">
        <f t="shared" si="3"/>
        <v>5</v>
      </c>
      <c r="G19">
        <f>SUM(G3:G18)</f>
        <v>3</v>
      </c>
      <c r="H19">
        <f>SUM(H3:H18)</f>
        <v>0</v>
      </c>
      <c r="I19">
        <f>SUM(I3:I18)</f>
        <v>0</v>
      </c>
      <c r="J19">
        <f>SUM(J3:J18)</f>
        <v>0</v>
      </c>
      <c r="K19">
        <f>SUM(K3:K18)</f>
        <v>0</v>
      </c>
      <c r="L19">
        <f t="shared" ref="L19:AH19" si="4">SUM(L3:L18)</f>
        <v>2</v>
      </c>
      <c r="M19">
        <f t="shared" si="4"/>
        <v>7</v>
      </c>
      <c r="N19">
        <f>SUM(N3:N18)</f>
        <v>9</v>
      </c>
      <c r="O19">
        <f>SUM(O3:O18)</f>
        <v>0</v>
      </c>
      <c r="P19">
        <f>SUM(P3:P18)</f>
        <v>0</v>
      </c>
      <c r="Q19">
        <f>SUM(Q3:Q18)</f>
        <v>0</v>
      </c>
      <c r="R19">
        <f>SUM(R3:R18)</f>
        <v>0</v>
      </c>
      <c r="S19">
        <f t="shared" si="4"/>
        <v>0</v>
      </c>
      <c r="T19">
        <f t="shared" si="4"/>
        <v>0</v>
      </c>
      <c r="U19">
        <f>SUM(U3:U18)</f>
        <v>0</v>
      </c>
      <c r="V19">
        <f>SUM(V3:V18)</f>
        <v>0</v>
      </c>
      <c r="W19">
        <f>SUM(W3:W18)</f>
        <v>0</v>
      </c>
      <c r="X19">
        <f>SUM(X3:X18)</f>
        <v>0</v>
      </c>
      <c r="Y19">
        <f>SUM(Y3:Y18)</f>
        <v>0</v>
      </c>
      <c r="Z19">
        <f t="shared" si="4"/>
        <v>0</v>
      </c>
      <c r="AA19">
        <f>SUM(AA3:AA18)</f>
        <v>0</v>
      </c>
      <c r="AB19">
        <f>SUM(AB3:AB18)</f>
        <v>0</v>
      </c>
      <c r="AC19">
        <f>SUM(AC3:AC18)</f>
        <v>0</v>
      </c>
      <c r="AD19">
        <f t="shared" si="4"/>
        <v>0</v>
      </c>
      <c r="AE19">
        <f t="shared" si="4"/>
        <v>0</v>
      </c>
      <c r="AF19">
        <f t="shared" si="4"/>
        <v>0</v>
      </c>
      <c r="AG19">
        <f t="shared" si="4"/>
        <v>0</v>
      </c>
      <c r="AH19">
        <f t="shared" si="4"/>
        <v>0</v>
      </c>
      <c r="AN19" s="1"/>
      <c r="AO19" s="1"/>
      <c r="AP19" s="1"/>
      <c r="AQ19" s="1"/>
      <c r="AR19" s="1"/>
      <c r="AS19" s="1"/>
    </row>
    <row r="20" spans="1:45" ht="30" x14ac:dyDescent="0.25">
      <c r="B20" s="19"/>
      <c r="C20" s="21" t="s">
        <v>36</v>
      </c>
      <c r="E20">
        <f>E$19/(AJ3-(COUNTIF(E3:E18,"e")))*100</f>
        <v>116.66666666666667</v>
      </c>
      <c r="F20">
        <f>F$19/(AJ3-(COUNTIF(F3:F18,"e")))*100</f>
        <v>83.333333333333343</v>
      </c>
      <c r="G20">
        <f>G$19/(AJ3-(COUNTIF(G3:G18,"e")))*100</f>
        <v>50</v>
      </c>
      <c r="H20">
        <f>H$19/(AJ3-(COUNTIF(H3:H18,"e")))*100</f>
        <v>0</v>
      </c>
      <c r="I20">
        <f>I$19/(AJ3-(COUNTIF(I3:I18,"e")))*100</f>
        <v>0</v>
      </c>
      <c r="J20">
        <f>J$19/(AJ3-(COUNTIF(J3:J18,"e")))*100</f>
        <v>0</v>
      </c>
      <c r="K20">
        <f>K$19/(AJ3-(COUNTIF(K3:K18,"e")))*100</f>
        <v>0</v>
      </c>
      <c r="L20">
        <f>L$19/(AJ3-(COUNTIF(L3:L18,"e")))*100</f>
        <v>33.333333333333329</v>
      </c>
      <c r="M20">
        <f>M$19/(AJ3-(COUNTIF(M3:M18,"e")))*100</f>
        <v>116.66666666666667</v>
      </c>
      <c r="N20">
        <f>N$19/(AJ3-(COUNTIF(N3:N18,"e")))*100</f>
        <v>150</v>
      </c>
      <c r="O20">
        <f>O$19/(AJ3-(COUNTIF(O3:O18,"e")))*100</f>
        <v>0</v>
      </c>
      <c r="P20">
        <f>P$19/(AJ3-(COUNTIF(P3:P18,"e")))*100</f>
        <v>0</v>
      </c>
      <c r="Q20">
        <f>Q$19/(AJ3-(COUNTIF(Q3:Q18,"e")))*100</f>
        <v>0</v>
      </c>
      <c r="R20">
        <f>R$19/(AJ3-(COUNTIF(R3:R18,"e")))*100</f>
        <v>0</v>
      </c>
      <c r="S20">
        <f>S$19/(AJ3-(COUNTIF(S3:S18,"e")))*100</f>
        <v>0</v>
      </c>
      <c r="T20">
        <f>T$19/(AJ3-(COUNTIF(T3:T18,"e")))*100</f>
        <v>0</v>
      </c>
      <c r="U20">
        <f>U$19/(AJ3-(COUNTIF(U3:U18,"e")))*100</f>
        <v>0</v>
      </c>
      <c r="V20">
        <f>V$19/(AJ3-(COUNTIF(V3:V18,"e")))*100</f>
        <v>0</v>
      </c>
      <c r="W20">
        <f>W$19/(AJ3-(COUNTIF(W3:W18,"e")))*100</f>
        <v>0</v>
      </c>
      <c r="X20">
        <f>X$19/(AJ3-(COUNTIF(X3:X18,"e")))*100</f>
        <v>0</v>
      </c>
      <c r="Y20">
        <f>Y$19/(AJ3-(COUNTIF(Y3:Y18,"e")))*100</f>
        <v>0</v>
      </c>
      <c r="Z20">
        <f>Z$19/(AJ3-(COUNTIF(Z3:Z18,"e")))*100</f>
        <v>0</v>
      </c>
      <c r="AA20">
        <f>AA$19/(AJ3-(COUNTIF(AA3:AA18,"e")))*100</f>
        <v>0</v>
      </c>
      <c r="AB20">
        <f>AB$19/(AJ3-(COUNTIF(AB3:AB18,"e")))*100</f>
        <v>0</v>
      </c>
      <c r="AC20">
        <f>AC$19/(AJ3-(COUNTIF(AC3:AC18,"e")))*100</f>
        <v>0</v>
      </c>
      <c r="AD20">
        <f>AD$19/(AJ3-(COUNTIF(AD3:AD18,"e")))*100</f>
        <v>0</v>
      </c>
      <c r="AE20">
        <f>AE$19/(AJ3-(COUNTIF(AE3:AE18,"e")))*100</f>
        <v>0</v>
      </c>
      <c r="AF20">
        <f>AF$19/(AJ3-(COUNTIF(AF3:AF18,"e")))*100</f>
        <v>0</v>
      </c>
      <c r="AG20">
        <f>AG$19/(AJ3-(COUNTIF(AG3:AG18,"e")))*100</f>
        <v>0</v>
      </c>
      <c r="AH20">
        <f>AH$19/(AJ3-(COUNTIF(AH3:AH18,"e")))*100</f>
        <v>0</v>
      </c>
      <c r="AN20" s="1"/>
      <c r="AO20" s="1"/>
      <c r="AP20" s="1"/>
      <c r="AQ20" s="1"/>
      <c r="AR20" s="1"/>
      <c r="AS20" s="1"/>
    </row>
    <row r="21" spans="1:45" x14ac:dyDescent="0.25">
      <c r="D21" s="22"/>
      <c r="E21">
        <f>IF(COUNTA(E3:E17)&lt;ROWS(E3:E17),0,1)</f>
        <v>1</v>
      </c>
      <c r="F21">
        <f t="shared" ref="F21:AH21" si="5">IF(COUNTA(F3:F17)&lt;ROWS(F3:F17),0,1)</f>
        <v>1</v>
      </c>
      <c r="G21">
        <f t="shared" si="5"/>
        <v>1</v>
      </c>
      <c r="H21">
        <f t="shared" si="5"/>
        <v>0</v>
      </c>
      <c r="I21">
        <f t="shared" si="5"/>
        <v>0</v>
      </c>
      <c r="J21">
        <f t="shared" si="5"/>
        <v>0</v>
      </c>
      <c r="K21">
        <f t="shared" si="5"/>
        <v>0</v>
      </c>
      <c r="L21">
        <f t="shared" si="5"/>
        <v>1</v>
      </c>
      <c r="M21">
        <f t="shared" si="5"/>
        <v>1</v>
      </c>
      <c r="N21">
        <f t="shared" si="5"/>
        <v>1</v>
      </c>
      <c r="O21">
        <f t="shared" si="5"/>
        <v>0</v>
      </c>
      <c r="P21">
        <f t="shared" si="5"/>
        <v>0</v>
      </c>
      <c r="Q21">
        <f t="shared" si="5"/>
        <v>0</v>
      </c>
      <c r="R21">
        <f t="shared" si="5"/>
        <v>0</v>
      </c>
      <c r="S21">
        <f t="shared" si="5"/>
        <v>0</v>
      </c>
      <c r="T21">
        <f t="shared" si="5"/>
        <v>0</v>
      </c>
      <c r="U21">
        <f>IF(COUNTA(U3:U17)&lt;ROWS(U3:U17),0,1)</f>
        <v>0</v>
      </c>
      <c r="V21">
        <f t="shared" si="5"/>
        <v>0</v>
      </c>
      <c r="W21">
        <f t="shared" si="5"/>
        <v>0</v>
      </c>
      <c r="X21">
        <f t="shared" si="5"/>
        <v>0</v>
      </c>
      <c r="Y21">
        <f t="shared" si="5"/>
        <v>0</v>
      </c>
      <c r="Z21">
        <f t="shared" si="5"/>
        <v>0</v>
      </c>
      <c r="AA21">
        <f t="shared" si="5"/>
        <v>0</v>
      </c>
      <c r="AB21">
        <f t="shared" si="5"/>
        <v>0</v>
      </c>
      <c r="AC21">
        <f t="shared" si="5"/>
        <v>0</v>
      </c>
      <c r="AD21">
        <f t="shared" si="5"/>
        <v>0</v>
      </c>
      <c r="AE21">
        <f t="shared" si="5"/>
        <v>0</v>
      </c>
      <c r="AF21">
        <f t="shared" si="5"/>
        <v>0</v>
      </c>
      <c r="AG21">
        <f t="shared" si="5"/>
        <v>0</v>
      </c>
      <c r="AH21">
        <f t="shared" si="5"/>
        <v>0</v>
      </c>
      <c r="AN21" s="1"/>
      <c r="AO21" s="1"/>
      <c r="AP21" s="1"/>
      <c r="AQ21" s="1"/>
      <c r="AR21" s="1"/>
      <c r="AS21" s="1"/>
    </row>
    <row r="22" spans="1:45" x14ac:dyDescent="0.25">
      <c r="D22" s="22"/>
      <c r="AI22">
        <f>(SUM(AI3:AI18)/SUM(AJ3:AJ18))*100</f>
        <v>34.375</v>
      </c>
      <c r="AN22" s="1"/>
      <c r="AO22" s="1"/>
      <c r="AP22" s="1"/>
      <c r="AQ22" s="1"/>
      <c r="AR22" s="1"/>
      <c r="AS22" s="1"/>
    </row>
    <row r="23" spans="1:45" x14ac:dyDescent="0.25">
      <c r="B23" t="s">
        <v>37</v>
      </c>
      <c r="C23" t="s">
        <v>38</v>
      </c>
      <c r="D23" s="22">
        <f>AVERAGE(D3:D18)</f>
        <v>34.375</v>
      </c>
      <c r="AN23" s="1"/>
      <c r="AO23" s="1"/>
      <c r="AP23" s="1"/>
      <c r="AQ23" s="1"/>
      <c r="AR23" s="1"/>
      <c r="AS23" s="1"/>
    </row>
    <row r="24" spans="1:45" x14ac:dyDescent="0.25">
      <c r="AN24" s="1"/>
      <c r="AO24" s="1"/>
      <c r="AP24" s="1"/>
      <c r="AQ24" s="1"/>
      <c r="AR24" s="1"/>
      <c r="AS24" s="1"/>
    </row>
    <row r="25" spans="1:45" x14ac:dyDescent="0.25">
      <c r="AN25" s="1"/>
      <c r="AO25" s="1"/>
      <c r="AP25" s="1"/>
      <c r="AQ25" s="1"/>
      <c r="AR25" s="1"/>
      <c r="AS25" s="1"/>
    </row>
    <row r="26" spans="1:45" ht="15.75" thickBot="1" x14ac:dyDescent="0.3">
      <c r="AN26" s="1"/>
      <c r="AO26" s="1"/>
      <c r="AP26" s="1"/>
      <c r="AQ26" s="1"/>
      <c r="AR26" s="1"/>
      <c r="AS26" s="1"/>
    </row>
    <row r="27" spans="1:45" ht="15.75" thickBot="1" x14ac:dyDescent="0.3">
      <c r="B27" s="23" t="s">
        <v>1</v>
      </c>
      <c r="C27" s="23"/>
      <c r="D27" s="24" t="s">
        <v>39</v>
      </c>
      <c r="E27" s="23">
        <v>1</v>
      </c>
      <c r="F27" s="23">
        <v>2</v>
      </c>
      <c r="G27" s="23">
        <v>3</v>
      </c>
      <c r="H27" s="23">
        <v>4</v>
      </c>
      <c r="I27" s="23">
        <v>5</v>
      </c>
      <c r="J27" s="23">
        <v>6</v>
      </c>
      <c r="K27" s="23">
        <v>7</v>
      </c>
      <c r="L27" s="23">
        <v>8</v>
      </c>
      <c r="M27" s="23">
        <v>9</v>
      </c>
      <c r="N27" s="23">
        <v>10</v>
      </c>
      <c r="O27" s="23">
        <v>11</v>
      </c>
      <c r="P27" s="23">
        <v>12</v>
      </c>
      <c r="Q27" s="23">
        <v>13</v>
      </c>
      <c r="R27" s="23">
        <v>14</v>
      </c>
      <c r="S27" s="23">
        <v>15</v>
      </c>
      <c r="T27" s="23">
        <v>16</v>
      </c>
      <c r="U27" s="23">
        <v>17</v>
      </c>
      <c r="V27" s="23">
        <v>18</v>
      </c>
      <c r="W27" s="23">
        <v>19</v>
      </c>
      <c r="X27" s="23">
        <v>20</v>
      </c>
      <c r="Y27" s="23">
        <v>21</v>
      </c>
      <c r="Z27" s="23">
        <v>22</v>
      </c>
      <c r="AA27" s="23">
        <v>23</v>
      </c>
      <c r="AB27" s="23">
        <v>24</v>
      </c>
      <c r="AC27" s="23">
        <v>25</v>
      </c>
      <c r="AD27" s="23">
        <v>26</v>
      </c>
      <c r="AE27" s="23">
        <v>27</v>
      </c>
      <c r="AF27" s="23">
        <v>28</v>
      </c>
      <c r="AG27" s="23">
        <v>29</v>
      </c>
      <c r="AH27" s="23">
        <v>30</v>
      </c>
      <c r="AI27" s="23"/>
      <c r="AJ27" s="23"/>
      <c r="AK27" s="25" t="s">
        <v>3</v>
      </c>
      <c r="AL27" s="25" t="s">
        <v>40</v>
      </c>
      <c r="AN27" s="1"/>
      <c r="AO27" s="1"/>
      <c r="AP27" s="1"/>
      <c r="AQ27" s="1"/>
      <c r="AR27" s="1"/>
      <c r="AS27" s="1"/>
    </row>
    <row r="28" spans="1:45" ht="18.75" thickBot="1" x14ac:dyDescent="0.3">
      <c r="B28" s="23" t="s">
        <v>41</v>
      </c>
      <c r="C28" s="23"/>
      <c r="D28" s="26">
        <f>SUM(E28:AH28)</f>
        <v>0</v>
      </c>
      <c r="E28" s="27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3"/>
      <c r="AJ28" s="23"/>
      <c r="AK28">
        <f>SUM(E28:AH28)</f>
        <v>0</v>
      </c>
      <c r="AL28">
        <v>12</v>
      </c>
      <c r="AN28" s="1"/>
      <c r="AO28" s="1"/>
      <c r="AP28" s="1"/>
      <c r="AQ28" s="1"/>
      <c r="AR28" s="1"/>
      <c r="AS28" s="1"/>
    </row>
    <row r="29" spans="1:45" ht="18.75" thickBot="1" x14ac:dyDescent="0.3">
      <c r="B29" s="23" t="s">
        <v>42</v>
      </c>
      <c r="C29" s="23"/>
      <c r="D29" s="26">
        <f>SUM(E29:AH29)</f>
        <v>0</v>
      </c>
      <c r="E29" s="27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23"/>
      <c r="AJ29" s="23"/>
      <c r="AK29">
        <f>SUM(E29:AH29)</f>
        <v>0</v>
      </c>
      <c r="AL29">
        <v>12</v>
      </c>
      <c r="AN29" s="1"/>
      <c r="AO29" s="1"/>
      <c r="AP29" s="1"/>
      <c r="AQ29" s="1"/>
      <c r="AR29" s="1"/>
      <c r="AS29" s="1"/>
    </row>
    <row r="30" spans="1:45" ht="18.75" thickBot="1" x14ac:dyDescent="0.3">
      <c r="B30" s="23" t="s">
        <v>43</v>
      </c>
      <c r="C30" s="23"/>
      <c r="D30" s="26">
        <f>SUM(E30:AH30)</f>
        <v>0</v>
      </c>
      <c r="E30" s="27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3"/>
      <c r="AJ30" s="23"/>
      <c r="AK30">
        <f>SUM(E30:AH30)</f>
        <v>0</v>
      </c>
      <c r="AL30">
        <v>12</v>
      </c>
      <c r="AN30" s="1"/>
      <c r="AO30" s="1"/>
      <c r="AP30" s="1"/>
      <c r="AQ30" s="1"/>
      <c r="AR30" s="1"/>
      <c r="AS30" s="1"/>
    </row>
    <row r="31" spans="1:45" ht="18.75" thickBot="1" x14ac:dyDescent="0.3">
      <c r="B31" s="23" t="s">
        <v>44</v>
      </c>
      <c r="C31" s="23"/>
      <c r="D31" s="26">
        <f>SUM(E31:AH31)</f>
        <v>0</v>
      </c>
      <c r="E31" s="27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23"/>
      <c r="AJ31" s="23"/>
      <c r="AK31">
        <f>SUM(E31:AH31)</f>
        <v>0</v>
      </c>
      <c r="AL31">
        <v>12</v>
      </c>
      <c r="AN31" s="1"/>
      <c r="AO31" s="1"/>
      <c r="AP31" s="1"/>
      <c r="AQ31" s="1"/>
      <c r="AR31" s="1"/>
      <c r="AS31" s="1"/>
    </row>
    <row r="32" spans="1:45" ht="18.75" thickBot="1" x14ac:dyDescent="0.3">
      <c r="B32" s="23" t="s">
        <v>45</v>
      </c>
      <c r="C32" s="23"/>
      <c r="D32" s="26">
        <f>SUM(E32:AH32)</f>
        <v>0</v>
      </c>
      <c r="E32" s="27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3"/>
      <c r="AJ32" s="23"/>
      <c r="AK32">
        <f>SUM(E32:AH32)</f>
        <v>0</v>
      </c>
      <c r="AL32">
        <v>12</v>
      </c>
      <c r="AN32" s="1"/>
      <c r="AO32" s="1"/>
      <c r="AP32" s="1"/>
      <c r="AQ32" s="1"/>
      <c r="AR32" s="1"/>
      <c r="AS32" s="1"/>
    </row>
    <row r="33" spans="2:45" x14ac:dyDescent="0.25">
      <c r="E33">
        <f>SUM(E28:E32)</f>
        <v>0</v>
      </c>
      <c r="F33">
        <f t="shared" ref="F33:AH33" si="6">SUM(F28:F32)</f>
        <v>0</v>
      </c>
      <c r="G33">
        <f t="shared" si="6"/>
        <v>0</v>
      </c>
      <c r="H33">
        <f>SUM(H28:H32)</f>
        <v>0</v>
      </c>
      <c r="I33">
        <f t="shared" si="6"/>
        <v>0</v>
      </c>
      <c r="J33">
        <f t="shared" si="6"/>
        <v>0</v>
      </c>
      <c r="K33">
        <f t="shared" si="6"/>
        <v>0</v>
      </c>
      <c r="L33">
        <f t="shared" si="6"/>
        <v>0</v>
      </c>
      <c r="M33">
        <f t="shared" si="6"/>
        <v>0</v>
      </c>
      <c r="N33">
        <f t="shared" si="6"/>
        <v>0</v>
      </c>
      <c r="O33">
        <f t="shared" si="6"/>
        <v>0</v>
      </c>
      <c r="P33">
        <f t="shared" si="6"/>
        <v>0</v>
      </c>
      <c r="Q33">
        <f t="shared" si="6"/>
        <v>0</v>
      </c>
      <c r="R33">
        <f t="shared" si="6"/>
        <v>0</v>
      </c>
      <c r="S33">
        <f t="shared" si="6"/>
        <v>0</v>
      </c>
      <c r="T33">
        <f t="shared" si="6"/>
        <v>0</v>
      </c>
      <c r="U33">
        <f t="shared" si="6"/>
        <v>0</v>
      </c>
      <c r="V33">
        <f t="shared" si="6"/>
        <v>0</v>
      </c>
      <c r="W33">
        <f t="shared" si="6"/>
        <v>0</v>
      </c>
      <c r="X33">
        <f t="shared" si="6"/>
        <v>0</v>
      </c>
      <c r="Y33">
        <f t="shared" si="6"/>
        <v>0</v>
      </c>
      <c r="Z33">
        <f t="shared" si="6"/>
        <v>0</v>
      </c>
      <c r="AA33">
        <f t="shared" si="6"/>
        <v>0</v>
      </c>
      <c r="AB33">
        <f t="shared" si="6"/>
        <v>0</v>
      </c>
      <c r="AC33">
        <f t="shared" si="6"/>
        <v>0</v>
      </c>
      <c r="AD33">
        <f t="shared" si="6"/>
        <v>0</v>
      </c>
      <c r="AE33">
        <f t="shared" si="6"/>
        <v>0</v>
      </c>
      <c r="AF33">
        <f t="shared" si="6"/>
        <v>0</v>
      </c>
      <c r="AG33">
        <f t="shared" si="6"/>
        <v>0</v>
      </c>
      <c r="AH33">
        <f t="shared" si="6"/>
        <v>0</v>
      </c>
      <c r="AN33" s="1"/>
      <c r="AO33" s="1"/>
      <c r="AP33" s="1"/>
      <c r="AQ33" s="1"/>
      <c r="AR33" s="1"/>
      <c r="AS33" s="1"/>
    </row>
    <row r="34" spans="2:45" x14ac:dyDescent="0.25">
      <c r="E34" s="28">
        <f>E33/(15-(COUNTIF(E28:E32,"e")))*100</f>
        <v>0</v>
      </c>
      <c r="F34" s="28">
        <f t="shared" ref="F34:AH34" si="7">F33/(15-(COUNTIF(F28:F32,"e")))*100</f>
        <v>0</v>
      </c>
      <c r="G34" s="28">
        <f t="shared" si="7"/>
        <v>0</v>
      </c>
      <c r="H34" s="28">
        <f>H33/(15-(COUNTIF(H28:H32,"e")))*100</f>
        <v>0</v>
      </c>
      <c r="I34" s="28">
        <f t="shared" si="7"/>
        <v>0</v>
      </c>
      <c r="J34" s="28">
        <f t="shared" si="7"/>
        <v>0</v>
      </c>
      <c r="K34" s="28">
        <f t="shared" si="7"/>
        <v>0</v>
      </c>
      <c r="L34" s="28">
        <f t="shared" si="7"/>
        <v>0</v>
      </c>
      <c r="M34" s="28">
        <f t="shared" si="7"/>
        <v>0</v>
      </c>
      <c r="N34" s="28">
        <f t="shared" si="7"/>
        <v>0</v>
      </c>
      <c r="O34" s="28">
        <f t="shared" si="7"/>
        <v>0</v>
      </c>
      <c r="P34" s="28">
        <f t="shared" si="7"/>
        <v>0</v>
      </c>
      <c r="Q34" s="28">
        <f t="shared" si="7"/>
        <v>0</v>
      </c>
      <c r="R34" s="28">
        <f t="shared" si="7"/>
        <v>0</v>
      </c>
      <c r="S34" s="28">
        <f t="shared" si="7"/>
        <v>0</v>
      </c>
      <c r="T34" s="28">
        <f t="shared" si="7"/>
        <v>0</v>
      </c>
      <c r="U34" s="28">
        <f t="shared" si="7"/>
        <v>0</v>
      </c>
      <c r="V34" s="28">
        <f t="shared" si="7"/>
        <v>0</v>
      </c>
      <c r="W34" s="28">
        <f t="shared" si="7"/>
        <v>0</v>
      </c>
      <c r="X34" s="28">
        <f t="shared" si="7"/>
        <v>0</v>
      </c>
      <c r="Y34" s="28">
        <f t="shared" si="7"/>
        <v>0</v>
      </c>
      <c r="Z34" s="28">
        <f t="shared" si="7"/>
        <v>0</v>
      </c>
      <c r="AA34" s="28">
        <f t="shared" si="7"/>
        <v>0</v>
      </c>
      <c r="AB34" s="28">
        <f t="shared" si="7"/>
        <v>0</v>
      </c>
      <c r="AC34" s="28">
        <f t="shared" si="7"/>
        <v>0</v>
      </c>
      <c r="AD34" s="28">
        <f t="shared" si="7"/>
        <v>0</v>
      </c>
      <c r="AE34" s="28">
        <f t="shared" si="7"/>
        <v>0</v>
      </c>
      <c r="AF34" s="28">
        <f t="shared" si="7"/>
        <v>0</v>
      </c>
      <c r="AG34" s="28">
        <f t="shared" si="7"/>
        <v>0</v>
      </c>
      <c r="AH34" s="28">
        <f t="shared" si="7"/>
        <v>0</v>
      </c>
      <c r="AI34" s="28"/>
      <c r="AJ34" s="28"/>
      <c r="AN34" s="1"/>
      <c r="AO34" s="1"/>
      <c r="AP34" s="1"/>
      <c r="AQ34" s="1"/>
      <c r="AR34" s="1"/>
      <c r="AS34" s="1"/>
    </row>
    <row r="35" spans="2:45" x14ac:dyDescent="0.25">
      <c r="E35">
        <f t="shared" ref="E35:AH35" si="8">IF(E33&gt;0,1,0)</f>
        <v>0</v>
      </c>
      <c r="F35">
        <f t="shared" si="8"/>
        <v>0</v>
      </c>
      <c r="G35">
        <f t="shared" si="8"/>
        <v>0</v>
      </c>
      <c r="H35">
        <f t="shared" si="8"/>
        <v>0</v>
      </c>
      <c r="I35">
        <f t="shared" si="8"/>
        <v>0</v>
      </c>
      <c r="J35">
        <f t="shared" si="8"/>
        <v>0</v>
      </c>
      <c r="K35">
        <f t="shared" si="8"/>
        <v>0</v>
      </c>
      <c r="L35">
        <f t="shared" si="8"/>
        <v>0</v>
      </c>
      <c r="M35">
        <f t="shared" si="8"/>
        <v>0</v>
      </c>
      <c r="N35">
        <f t="shared" si="8"/>
        <v>0</v>
      </c>
      <c r="O35">
        <f t="shared" si="8"/>
        <v>0</v>
      </c>
      <c r="P35">
        <f t="shared" si="8"/>
        <v>0</v>
      </c>
      <c r="Q35">
        <f t="shared" si="8"/>
        <v>0</v>
      </c>
      <c r="R35">
        <f t="shared" si="8"/>
        <v>0</v>
      </c>
      <c r="S35">
        <f t="shared" si="8"/>
        <v>0</v>
      </c>
      <c r="T35">
        <f t="shared" si="8"/>
        <v>0</v>
      </c>
      <c r="U35">
        <f t="shared" si="8"/>
        <v>0</v>
      </c>
      <c r="V35">
        <f t="shared" si="8"/>
        <v>0</v>
      </c>
      <c r="W35">
        <f t="shared" si="8"/>
        <v>0</v>
      </c>
      <c r="X35">
        <f t="shared" si="8"/>
        <v>0</v>
      </c>
      <c r="Y35">
        <f t="shared" si="8"/>
        <v>0</v>
      </c>
      <c r="Z35">
        <f t="shared" si="8"/>
        <v>0</v>
      </c>
      <c r="AA35">
        <f t="shared" si="8"/>
        <v>0</v>
      </c>
      <c r="AB35">
        <f t="shared" si="8"/>
        <v>0</v>
      </c>
      <c r="AC35">
        <f t="shared" si="8"/>
        <v>0</v>
      </c>
      <c r="AD35">
        <f t="shared" si="8"/>
        <v>0</v>
      </c>
      <c r="AE35">
        <f t="shared" si="8"/>
        <v>0</v>
      </c>
      <c r="AF35">
        <f t="shared" si="8"/>
        <v>0</v>
      </c>
      <c r="AG35">
        <f t="shared" si="8"/>
        <v>0</v>
      </c>
      <c r="AH35">
        <f t="shared" si="8"/>
        <v>0</v>
      </c>
      <c r="AN35" s="1"/>
      <c r="AO35" s="1"/>
      <c r="AP35" s="1"/>
      <c r="AQ35" s="1"/>
      <c r="AR35" s="1"/>
      <c r="AS35" s="1"/>
    </row>
    <row r="36" spans="2:45" x14ac:dyDescent="0.25">
      <c r="AN36" s="1"/>
      <c r="AO36" s="1"/>
      <c r="AP36" s="1"/>
      <c r="AQ36" s="1"/>
      <c r="AR36" s="1"/>
      <c r="AS36" s="1"/>
    </row>
    <row r="37" spans="2:45" x14ac:dyDescent="0.25">
      <c r="B37" t="s">
        <v>37</v>
      </c>
      <c r="D37" t="e">
        <f>SUM(E34:AH34)/SUM(E35:AH35)</f>
        <v>#DIV/0!</v>
      </c>
      <c r="AN37" s="1"/>
      <c r="AO37" s="1"/>
      <c r="AP37" s="1"/>
      <c r="AQ37" s="1"/>
      <c r="AR37" s="1"/>
      <c r="AS37" s="1"/>
    </row>
  </sheetData>
  <mergeCells count="2">
    <mergeCell ref="E1:AH1"/>
    <mergeCell ref="AJ1:AJ2"/>
  </mergeCells>
  <conditionalFormatting sqref="D3:D18">
    <cfRule type="cellIs" dxfId="4" priority="1" operator="lessThan">
      <formula>60</formula>
    </cfRule>
    <cfRule type="cellIs" dxfId="3" priority="2" operator="greaterThanOrEqual">
      <formula>60</formula>
    </cfRule>
  </conditionalFormatting>
  <conditionalFormatting sqref="E3:AH18 E28:AH32">
    <cfRule type="containsBlanks" dxfId="2" priority="3">
      <formula>LEN(TRIM(E3))=0</formula>
    </cfRule>
  </conditionalFormatting>
  <conditionalFormatting sqref="E3:AH18 F28:AH32">
    <cfRule type="cellIs" dxfId="1" priority="4" operator="greaterThan">
      <formula>0</formula>
    </cfRule>
    <cfRule type="cellIs" dxfId="0" priority="5" operator="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Kalidas Aditya, (QXZ6SGB)</dc:creator>
  <cp:lastModifiedBy>Kalidas Aditya</cp:lastModifiedBy>
  <dcterms:created xsi:type="dcterms:W3CDTF">2015-06-05T18:19:34Z</dcterms:created>
  <dcterms:modified xsi:type="dcterms:W3CDTF">2025-12-11T05:18:05Z</dcterms:modified>
</cp:coreProperties>
</file>