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P:\Department\06_Total_Vehicle_Quality_Management\SHARE\11_Intern Department\42_Aditya\"/>
    </mc:Choice>
  </mc:AlternateContent>
  <xr:revisionPtr revIDLastSave="0" documentId="13_ncr:1_{AF171A13-7AD7-4386-B282-8AE5C21929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1" l="1"/>
  <c r="AI3" i="1"/>
  <c r="AI4" i="1"/>
  <c r="AI5" i="1"/>
  <c r="AI6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AJ3" i="1" l="1"/>
  <c r="AR4" i="1"/>
  <c r="AR3" i="1" s="1"/>
  <c r="Z8" i="1" l="1"/>
  <c r="D3" i="1"/>
  <c r="AJ4" i="1"/>
  <c r="W8" i="1"/>
  <c r="V8" i="1"/>
  <c r="U8" i="1"/>
  <c r="T8" i="1"/>
  <c r="N8" i="1"/>
  <c r="P8" i="1"/>
  <c r="I8" i="1"/>
  <c r="M8" i="1"/>
  <c r="J8" i="1"/>
  <c r="L8" i="1"/>
  <c r="AH8" i="1"/>
  <c r="AE8" i="1"/>
  <c r="AF8" i="1"/>
  <c r="R8" i="1"/>
  <c r="Q8" i="1"/>
  <c r="AB8" i="1"/>
  <c r="Y8" i="1"/>
  <c r="G8" i="1"/>
  <c r="X8" i="1"/>
  <c r="S8" i="1"/>
  <c r="E8" i="1"/>
  <c r="AC8" i="1"/>
  <c r="AA8" i="1"/>
  <c r="AD8" i="1"/>
  <c r="F8" i="1"/>
  <c r="O8" i="1"/>
  <c r="K8" i="1"/>
  <c r="H8" i="1"/>
  <c r="AG8" i="1"/>
  <c r="AJ5" i="1" l="1"/>
  <c r="D5" i="1" s="1"/>
  <c r="D4" i="1"/>
  <c r="AJ6" i="1" l="1"/>
  <c r="D6" i="1" s="1"/>
  <c r="AI10" i="1" l="1"/>
  <c r="AR5" i="1" s="1"/>
  <c r="D11" i="1" l="1"/>
  <c r="AO2" i="1" a="1"/>
  <c r="AO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<sst xmlns="http://schemas.openxmlformats.org/spreadsheetml/2006/main" count="65" uniqueCount="57">
  <si>
    <t>S.NO</t>
  </si>
  <si>
    <t>Name</t>
  </si>
  <si>
    <t>Working Structure</t>
  </si>
  <si>
    <t>%</t>
  </si>
  <si>
    <t>working days</t>
  </si>
  <si>
    <t>Percentage(Achieved)</t>
  </si>
  <si>
    <t>Percentage(Target)</t>
  </si>
  <si>
    <t xml:space="preserve">Metric </t>
  </si>
  <si>
    <t xml:space="preserve">value </t>
  </si>
  <si>
    <t>Total  Working days</t>
  </si>
  <si>
    <t>DATE</t>
  </si>
  <si>
    <t>Total to be done</t>
  </si>
  <si>
    <t>TV-435</t>
  </si>
  <si>
    <t>Remaining</t>
  </si>
  <si>
    <t>TV-4350</t>
  </si>
  <si>
    <t>Achieved</t>
  </si>
  <si>
    <t>Total Achieved %</t>
  </si>
  <si>
    <t>TOTAL</t>
  </si>
  <si>
    <t>PERCENTAGE</t>
  </si>
  <si>
    <t>Total %</t>
  </si>
  <si>
    <t>AVERAGE</t>
  </si>
  <si>
    <t>S</t>
  </si>
  <si>
    <t xml:space="preserve">Aditya </t>
  </si>
  <si>
    <t>R Kalidas</t>
  </si>
  <si>
    <t>Lakshmi K</t>
  </si>
  <si>
    <t>Hari</t>
  </si>
  <si>
    <t>Metrics</t>
  </si>
  <si>
    <t>SLNo.</t>
  </si>
  <si>
    <t>Hall</t>
  </si>
  <si>
    <t>Kitchen</t>
  </si>
  <si>
    <t>Bedroom 1</t>
  </si>
  <si>
    <t>Bedroom 2</t>
  </si>
  <si>
    <t>Bedroom 3</t>
  </si>
  <si>
    <t>Pooja shelf</t>
  </si>
  <si>
    <t>Shoe Rack</t>
  </si>
  <si>
    <t>Adi dress</t>
  </si>
  <si>
    <t>Lak dress</t>
  </si>
  <si>
    <t>Kali dress</t>
  </si>
  <si>
    <t>hari dress</t>
  </si>
  <si>
    <t>Balcony with garden</t>
  </si>
  <si>
    <t>balcony2</t>
  </si>
  <si>
    <t>balcony3</t>
  </si>
  <si>
    <t>AC</t>
  </si>
  <si>
    <t>Fan hall</t>
  </si>
  <si>
    <t>Fan Bedroom 1</t>
  </si>
  <si>
    <t>Fan Bedroom 2</t>
  </si>
  <si>
    <t>Fan Bedroom 3</t>
  </si>
  <si>
    <t>Washing machine</t>
  </si>
  <si>
    <t>Microwave</t>
  </si>
  <si>
    <t>Chimney</t>
  </si>
  <si>
    <t>Fridge</t>
  </si>
  <si>
    <t>Study Shelf</t>
  </si>
  <si>
    <t>Points</t>
  </si>
  <si>
    <t>Bathroom1</t>
  </si>
  <si>
    <t>Bathroom2</t>
  </si>
  <si>
    <t>Bathroom3</t>
  </si>
  <si>
    <t>All Mirror and Photos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</si>
</sst>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30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4"/>
      <color rgb="FF000000"/>
      <name val="BMW Group"/>
    </font>
    <font>
      <sz val="14"/>
      <name val="Arial"/>
      <family val="2"/>
    </font>
    <font>
      <sz val="11"/>
      <name val="Calibri Light"/>
      <family val="3"/>
      <scheme val="major"/>
    </font>
    <font>
      <sz val="8"/>
      <name val="Calibri"/>
      <family val="2"/>
      <scheme val="minor"/>
    </font>
    <font>
      <sz val="11"/>
      <color theme="1"/>
      <name val="BMWGroupTN Condensed"/>
    </font>
    <font>
      <b/>
      <sz val="11"/>
      <color theme="1"/>
      <name val="BMWGroupTN Condensed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6" xfId="0" applyNumberFormat="1" applyBorder="1"/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6" xfId="0" applyBorder="1"/>
    <xf numFmtId="0" fontId="6" fillId="0" borderId="0" xfId="0" applyFont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164" fontId="0" fillId="0" borderId="0" xfId="0" applyNumberFormat="1"/>
    <xf numFmtId="0" fontId="9" fillId="0" borderId="3" xfId="0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3"/>
  <sheetViews>
    <sheetView tabSelected="1" zoomScale="70" zoomScaleNormal="70" workbookViewId="0">
      <selection activeCell="K30" sqref="K30"/>
    </sheetView>
  </sheetViews>
  <sheetFormatPr defaultRowHeight="15" x14ac:dyDescent="0.25"/>
  <cols>
    <col min="2" max="2" width="20.5703125" bestFit="1" customWidth="1"/>
    <col min="3" max="3" width="10.85546875" bestFit="1" customWidth="1"/>
    <col min="40" max="40" width="34.5703125" bestFit="1" customWidth="1"/>
    <col min="42" max="42" width="24.42578125" bestFit="1" customWidth="1"/>
    <col min="43" max="43" width="17.85546875" bestFit="1" customWidth="1"/>
    <col min="45" max="45" width="24" bestFit="1" customWidth="1"/>
  </cols>
  <sheetData>
    <row r="1" spans="1:45" ht="63" x14ac:dyDescent="0.6">
      <c r="A1" s="1" t="s">
        <v>0</v>
      </c>
      <c r="B1" s="2" t="s">
        <v>1</v>
      </c>
      <c r="C1" s="2" t="s">
        <v>2</v>
      </c>
      <c r="D1" s="3" t="s">
        <v>3</v>
      </c>
      <c r="E1" s="4">
        <v>45992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t="s">
        <v>3</v>
      </c>
      <c r="AJ1" s="6" t="s">
        <v>4</v>
      </c>
      <c r="AN1" s="7" t="s">
        <v>1</v>
      </c>
      <c r="AO1" s="8" t="s">
        <v>5</v>
      </c>
      <c r="AP1" s="8" t="s">
        <v>6</v>
      </c>
      <c r="AQ1" s="8" t="s">
        <v>7</v>
      </c>
      <c r="AR1" s="8" t="s">
        <v>8</v>
      </c>
      <c r="AS1" s="8" t="s">
        <v>9</v>
      </c>
    </row>
    <row r="2" spans="1:45" ht="16.5" thickBot="1" x14ac:dyDescent="0.3">
      <c r="A2" s="9" t="s">
        <v>10</v>
      </c>
      <c r="B2" s="10"/>
      <c r="C2" s="10"/>
      <c r="E2" s="9">
        <v>1</v>
      </c>
      <c r="F2" s="9">
        <v>2</v>
      </c>
      <c r="G2" s="9">
        <v>3</v>
      </c>
      <c r="H2" s="9">
        <v>4</v>
      </c>
      <c r="I2" s="9">
        <v>5</v>
      </c>
      <c r="J2" s="9">
        <v>6</v>
      </c>
      <c r="K2" s="9">
        <v>7</v>
      </c>
      <c r="L2" s="9">
        <v>8</v>
      </c>
      <c r="M2" s="9">
        <v>9</v>
      </c>
      <c r="N2" s="9">
        <v>10</v>
      </c>
      <c r="O2" s="9">
        <v>11</v>
      </c>
      <c r="P2" s="9">
        <v>12</v>
      </c>
      <c r="Q2" s="9">
        <v>13</v>
      </c>
      <c r="R2" s="9">
        <v>14</v>
      </c>
      <c r="S2" s="9">
        <v>15</v>
      </c>
      <c r="T2" s="9">
        <v>16</v>
      </c>
      <c r="U2" s="9">
        <v>17</v>
      </c>
      <c r="V2" s="9">
        <v>18</v>
      </c>
      <c r="W2" s="9">
        <v>19</v>
      </c>
      <c r="X2" s="9">
        <v>20</v>
      </c>
      <c r="Y2" s="9">
        <v>21</v>
      </c>
      <c r="Z2" s="9">
        <v>22</v>
      </c>
      <c r="AA2" s="9">
        <v>23</v>
      </c>
      <c r="AB2" s="9">
        <v>24</v>
      </c>
      <c r="AC2" s="9">
        <v>25</v>
      </c>
      <c r="AD2" s="9">
        <v>26</v>
      </c>
      <c r="AE2" s="9">
        <v>27</v>
      </c>
      <c r="AF2" s="9">
        <v>28</v>
      </c>
      <c r="AG2" s="9">
        <v>29</v>
      </c>
      <c r="AH2" s="9">
        <v>30</v>
      </c>
      <c r="AJ2" s="6"/>
      <c r="AN2" s="14" t="s">
        <v>22</v>
      </c>
      <c r="AO2" s="11" cm="1">
        <f t="array" ref="AO2:AO5">D3:D6</f>
        <v>56.666666666666664</v>
      </c>
      <c r="AP2" s="12">
        <v>60</v>
      </c>
      <c r="AQ2" s="9" t="s">
        <v>11</v>
      </c>
      <c r="AR2" s="12">
        <v>156</v>
      </c>
      <c r="AS2" s="12">
        <v>20</v>
      </c>
    </row>
    <row r="3" spans="1:45" ht="18.75" thickBot="1" x14ac:dyDescent="0.3">
      <c r="A3" s="13">
        <v>1</v>
      </c>
      <c r="B3" s="14" t="s">
        <v>22</v>
      </c>
      <c r="C3" s="13" t="s">
        <v>12</v>
      </c>
      <c r="D3" s="15">
        <f>IFERROR(AI3/(AJ3)*100,"")</f>
        <v>56.666666666666664</v>
      </c>
      <c r="E3" s="16">
        <v>1</v>
      </c>
      <c r="F3" s="16">
        <v>0</v>
      </c>
      <c r="G3" s="16">
        <v>1</v>
      </c>
      <c r="H3" s="16">
        <v>0</v>
      </c>
      <c r="I3" s="16">
        <v>1</v>
      </c>
      <c r="J3" s="16">
        <v>0</v>
      </c>
      <c r="K3" s="16">
        <v>1</v>
      </c>
      <c r="L3" s="16">
        <v>0</v>
      </c>
      <c r="M3" s="16">
        <v>1</v>
      </c>
      <c r="N3" s="16">
        <v>0</v>
      </c>
      <c r="O3" s="16">
        <v>1</v>
      </c>
      <c r="P3" s="16">
        <v>0</v>
      </c>
      <c r="Q3" s="16">
        <v>1</v>
      </c>
      <c r="R3" s="16">
        <v>0</v>
      </c>
      <c r="S3" s="16">
        <v>1</v>
      </c>
      <c r="T3" s="16">
        <v>0</v>
      </c>
      <c r="U3" s="16">
        <v>1</v>
      </c>
      <c r="V3" s="16">
        <v>0</v>
      </c>
      <c r="W3" s="16">
        <v>1</v>
      </c>
      <c r="X3" s="16">
        <v>0</v>
      </c>
      <c r="Y3" s="16">
        <v>0</v>
      </c>
      <c r="Z3" s="16">
        <v>1</v>
      </c>
      <c r="AA3" s="16">
        <v>0</v>
      </c>
      <c r="AB3" s="16">
        <v>0</v>
      </c>
      <c r="AC3" s="16">
        <v>1</v>
      </c>
      <c r="AD3" s="16">
        <v>0</v>
      </c>
      <c r="AE3" s="16">
        <v>1</v>
      </c>
      <c r="AF3" s="16">
        <v>1</v>
      </c>
      <c r="AG3" s="16">
        <v>3</v>
      </c>
      <c r="AH3" s="16">
        <v>0</v>
      </c>
      <c r="AI3" s="17">
        <f>SUM(E3:AH3)</f>
        <v>17</v>
      </c>
      <c r="AJ3" s="1">
        <f>SUM(E9:AH9)</f>
        <v>30</v>
      </c>
      <c r="AN3" s="14" t="s">
        <v>23</v>
      </c>
      <c r="AO3" s="11">
        <v>103.33333333333334</v>
      </c>
      <c r="AP3" s="12">
        <v>60</v>
      </c>
      <c r="AQ3" s="9" t="s">
        <v>13</v>
      </c>
      <c r="AR3" s="9">
        <f>AR2-AR4</f>
        <v>42</v>
      </c>
      <c r="AS3" s="12">
        <v>20</v>
      </c>
    </row>
    <row r="4" spans="1:45" ht="18.75" thickBot="1" x14ac:dyDescent="0.3">
      <c r="A4" s="18">
        <v>2</v>
      </c>
      <c r="B4" s="14" t="s">
        <v>23</v>
      </c>
      <c r="C4" s="18" t="s">
        <v>14</v>
      </c>
      <c r="D4" s="15">
        <f t="shared" ref="D4:D6" si="0">IFERROR(AI4/(AJ4)*100,"")</f>
        <v>103.33333333333334</v>
      </c>
      <c r="E4" s="16">
        <v>2</v>
      </c>
      <c r="F4" s="16">
        <v>0</v>
      </c>
      <c r="G4" s="16">
        <v>2</v>
      </c>
      <c r="H4" s="16">
        <v>0</v>
      </c>
      <c r="I4" s="16">
        <v>2</v>
      </c>
      <c r="J4" s="16">
        <v>0</v>
      </c>
      <c r="K4" s="16">
        <v>2</v>
      </c>
      <c r="L4" s="16">
        <v>0</v>
      </c>
      <c r="M4" s="16">
        <v>2</v>
      </c>
      <c r="N4" s="16">
        <v>0</v>
      </c>
      <c r="O4" s="16">
        <v>2</v>
      </c>
      <c r="P4" s="16">
        <v>0</v>
      </c>
      <c r="Q4" s="16">
        <v>2</v>
      </c>
      <c r="R4" s="16">
        <v>0</v>
      </c>
      <c r="S4" s="16">
        <v>2</v>
      </c>
      <c r="T4" s="16">
        <v>0</v>
      </c>
      <c r="U4" s="16">
        <v>2</v>
      </c>
      <c r="V4" s="16">
        <v>0</v>
      </c>
      <c r="W4" s="16">
        <v>2</v>
      </c>
      <c r="X4" s="16">
        <v>0</v>
      </c>
      <c r="Y4" s="16">
        <v>0</v>
      </c>
      <c r="Z4" s="16">
        <v>2</v>
      </c>
      <c r="AA4" s="16">
        <v>0</v>
      </c>
      <c r="AB4" s="16">
        <v>0</v>
      </c>
      <c r="AC4" s="16">
        <v>2</v>
      </c>
      <c r="AD4" s="16">
        <v>0</v>
      </c>
      <c r="AE4" s="16">
        <v>2</v>
      </c>
      <c r="AF4" s="16">
        <v>2</v>
      </c>
      <c r="AG4" s="16">
        <v>3</v>
      </c>
      <c r="AH4" s="16">
        <v>0</v>
      </c>
      <c r="AI4" s="17">
        <f>SUM(E4:AH4)</f>
        <v>31</v>
      </c>
      <c r="AJ4" s="1">
        <f>AJ3</f>
        <v>30</v>
      </c>
      <c r="AN4" s="14" t="s">
        <v>24</v>
      </c>
      <c r="AO4" s="11">
        <v>153.33333333333334</v>
      </c>
      <c r="AP4" s="12">
        <v>60</v>
      </c>
      <c r="AQ4" s="9" t="s">
        <v>15</v>
      </c>
      <c r="AR4" s="9">
        <f>SUM(E7:AH7)</f>
        <v>114</v>
      </c>
      <c r="AS4" s="12">
        <v>20</v>
      </c>
    </row>
    <row r="5" spans="1:45" ht="18.75" thickBot="1" x14ac:dyDescent="0.3">
      <c r="A5" s="18">
        <v>3</v>
      </c>
      <c r="B5" s="14" t="s">
        <v>24</v>
      </c>
      <c r="C5" s="18" t="s">
        <v>14</v>
      </c>
      <c r="D5" s="15">
        <f t="shared" si="0"/>
        <v>153.33333333333334</v>
      </c>
      <c r="E5" s="16">
        <v>3</v>
      </c>
      <c r="F5" s="16">
        <v>0</v>
      </c>
      <c r="G5" s="16">
        <v>3</v>
      </c>
      <c r="H5" s="16">
        <v>0</v>
      </c>
      <c r="I5" s="16">
        <v>3</v>
      </c>
      <c r="J5" s="16">
        <v>0</v>
      </c>
      <c r="K5" s="16">
        <v>3</v>
      </c>
      <c r="L5" s="16">
        <v>0</v>
      </c>
      <c r="M5" s="16">
        <v>3</v>
      </c>
      <c r="N5" s="16">
        <v>0</v>
      </c>
      <c r="O5" s="16">
        <v>3</v>
      </c>
      <c r="P5" s="16">
        <v>0</v>
      </c>
      <c r="Q5" s="16">
        <v>3</v>
      </c>
      <c r="R5" s="16">
        <v>0</v>
      </c>
      <c r="S5" s="16">
        <v>3</v>
      </c>
      <c r="T5" s="16">
        <v>0</v>
      </c>
      <c r="U5" s="16">
        <v>3</v>
      </c>
      <c r="V5" s="16">
        <v>0</v>
      </c>
      <c r="W5" s="16">
        <v>3</v>
      </c>
      <c r="X5" s="16">
        <v>0</v>
      </c>
      <c r="Y5" s="16">
        <v>0</v>
      </c>
      <c r="Z5" s="16">
        <v>3</v>
      </c>
      <c r="AA5" s="16">
        <v>0</v>
      </c>
      <c r="AB5" s="16">
        <v>0</v>
      </c>
      <c r="AC5" s="16">
        <v>3</v>
      </c>
      <c r="AD5" s="16">
        <v>0</v>
      </c>
      <c r="AE5" s="16">
        <v>3</v>
      </c>
      <c r="AF5" s="16">
        <v>3</v>
      </c>
      <c r="AG5" s="16">
        <v>3</v>
      </c>
      <c r="AH5" s="16">
        <v>1</v>
      </c>
      <c r="AI5" s="17">
        <f>SUM(E5:AH5)</f>
        <v>46</v>
      </c>
      <c r="AJ5" s="1">
        <f t="shared" ref="AJ5:AJ6" si="1">AJ4</f>
        <v>30</v>
      </c>
      <c r="AN5" s="14" t="s">
        <v>25</v>
      </c>
      <c r="AO5" s="11">
        <v>66.666666666666657</v>
      </c>
      <c r="AP5" s="12">
        <v>60</v>
      </c>
      <c r="AQ5" s="9" t="s">
        <v>16</v>
      </c>
      <c r="AR5" s="9">
        <f>AI10</f>
        <v>95</v>
      </c>
      <c r="AS5" s="12">
        <v>20</v>
      </c>
    </row>
    <row r="6" spans="1:45" ht="18.75" thickBot="1" x14ac:dyDescent="0.3">
      <c r="A6" s="13">
        <v>4</v>
      </c>
      <c r="B6" s="14" t="s">
        <v>25</v>
      </c>
      <c r="C6" s="18" t="s">
        <v>14</v>
      </c>
      <c r="D6" s="15">
        <f t="shared" si="0"/>
        <v>66.666666666666657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10</v>
      </c>
      <c r="AH6" s="16">
        <v>10</v>
      </c>
      <c r="AI6" s="17">
        <f>SUM(E6:AH6)</f>
        <v>20</v>
      </c>
      <c r="AJ6" s="1">
        <f t="shared" si="1"/>
        <v>30</v>
      </c>
      <c r="AN6" s="1"/>
      <c r="AO6" s="1"/>
      <c r="AP6" s="1"/>
      <c r="AQ6" s="1"/>
      <c r="AR6" s="1"/>
      <c r="AS6" s="1"/>
    </row>
    <row r="7" spans="1:45" ht="18" x14ac:dyDescent="0.25">
      <c r="B7" s="19"/>
      <c r="C7" s="20" t="s">
        <v>17</v>
      </c>
      <c r="E7">
        <f>SUM(E3:E6)</f>
        <v>6</v>
      </c>
      <c r="F7">
        <f>SUM(F3:F6)</f>
        <v>0</v>
      </c>
      <c r="G7">
        <f>SUM(G3:G6)</f>
        <v>6</v>
      </c>
      <c r="H7">
        <f>SUM(H3:H6)</f>
        <v>0</v>
      </c>
      <c r="I7">
        <f>SUM(I3:I6)</f>
        <v>6</v>
      </c>
      <c r="J7">
        <f>SUM(J3:J6)</f>
        <v>0</v>
      </c>
      <c r="K7">
        <f>SUM(K3:K6)</f>
        <v>6</v>
      </c>
      <c r="L7">
        <f>SUM(L3:L6)</f>
        <v>0</v>
      </c>
      <c r="M7">
        <f>SUM(M3:M6)</f>
        <v>6</v>
      </c>
      <c r="N7">
        <f>SUM(N3:N6)</f>
        <v>0</v>
      </c>
      <c r="O7">
        <f>SUM(O3:O6)</f>
        <v>6</v>
      </c>
      <c r="P7">
        <f>SUM(P3:P6)</f>
        <v>0</v>
      </c>
      <c r="Q7">
        <f>SUM(Q3:Q6)</f>
        <v>6</v>
      </c>
      <c r="R7">
        <f>SUM(R3:R6)</f>
        <v>0</v>
      </c>
      <c r="S7">
        <f>SUM(S3:S6)</f>
        <v>6</v>
      </c>
      <c r="T7">
        <f>SUM(T3:T6)</f>
        <v>0</v>
      </c>
      <c r="U7">
        <f>SUM(U3:U6)</f>
        <v>6</v>
      </c>
      <c r="V7">
        <f>SUM(V3:V6)</f>
        <v>0</v>
      </c>
      <c r="W7">
        <f>SUM(W3:W6)</f>
        <v>6</v>
      </c>
      <c r="X7">
        <f>SUM(X3:X6)</f>
        <v>0</v>
      </c>
      <c r="Y7">
        <f>SUM(Y3:Y6)</f>
        <v>0</v>
      </c>
      <c r="Z7">
        <f>SUM(Z3:Z6)</f>
        <v>6</v>
      </c>
      <c r="AA7">
        <f>SUM(AA3:AA6)</f>
        <v>0</v>
      </c>
      <c r="AB7">
        <f>SUM(AB3:AB6)</f>
        <v>0</v>
      </c>
      <c r="AC7">
        <f>SUM(AC3:AC6)</f>
        <v>6</v>
      </c>
      <c r="AD7">
        <f>SUM(AD3:AD6)</f>
        <v>0</v>
      </c>
      <c r="AE7">
        <f>SUM(AE3:AE6)</f>
        <v>6</v>
      </c>
      <c r="AF7">
        <f>SUM(AF3:AF6)</f>
        <v>6</v>
      </c>
      <c r="AG7">
        <f>SUM(AG3:AG6)</f>
        <v>19</v>
      </c>
      <c r="AH7">
        <f>SUM(AH3:AH6)</f>
        <v>11</v>
      </c>
      <c r="AN7" s="1"/>
      <c r="AO7" s="1"/>
      <c r="AP7" s="1"/>
      <c r="AQ7" s="1"/>
      <c r="AR7" s="1"/>
      <c r="AS7" s="1"/>
    </row>
    <row r="8" spans="1:45" ht="30" x14ac:dyDescent="0.25">
      <c r="B8" s="19"/>
      <c r="C8" s="21" t="s">
        <v>18</v>
      </c>
      <c r="E8">
        <f>E$7/(AJ3-(COUNTIF(E3:E6,"e")))*100</f>
        <v>20</v>
      </c>
      <c r="F8">
        <f>F$7/(AJ3-(COUNTIF(F3:F6,"e")))*100</f>
        <v>0</v>
      </c>
      <c r="G8">
        <f>G$7/(AJ3-(COUNTIF(G3:G6,"e")))*100</f>
        <v>20</v>
      </c>
      <c r="H8">
        <f>H$7/(AJ3-(COUNTIF(H3:H6,"e")))*100</f>
        <v>0</v>
      </c>
      <c r="I8">
        <f>I$7/(AJ3-(COUNTIF(I3:I6,"e")))*100</f>
        <v>20</v>
      </c>
      <c r="J8">
        <f>J$7/(AJ3-(COUNTIF(J3:J6,"e")))*100</f>
        <v>0</v>
      </c>
      <c r="K8">
        <f>K$7/(AJ3-(COUNTIF(K3:K6,"e")))*100</f>
        <v>20</v>
      </c>
      <c r="L8">
        <f>L$7/(AJ3-(COUNTIF(L3:L6,"e")))*100</f>
        <v>0</v>
      </c>
      <c r="M8">
        <f>M$7/(AJ3-(COUNTIF(M3:M6,"e")))*100</f>
        <v>20</v>
      </c>
      <c r="N8">
        <f>N$7/(AJ3-(COUNTIF(N3:N6,"e")))*100</f>
        <v>0</v>
      </c>
      <c r="O8">
        <f>O$7/(AJ3-(COUNTIF(O3:O6,"e")))*100</f>
        <v>20</v>
      </c>
      <c r="P8">
        <f>P$7/(AJ3-(COUNTIF(P3:P6,"e")))*100</f>
        <v>0</v>
      </c>
      <c r="Q8">
        <f>Q$7/(AJ3-(COUNTIF(Q3:Q6,"e")))*100</f>
        <v>20</v>
      </c>
      <c r="R8">
        <f>R$7/(AJ3-(COUNTIF(R3:R6,"e")))*100</f>
        <v>0</v>
      </c>
      <c r="S8">
        <f>S$7/(AJ3-(COUNTIF(S3:S6,"e")))*100</f>
        <v>20</v>
      </c>
      <c r="T8">
        <f>T$7/(AJ3-(COUNTIF(T3:T6,"e")))*100</f>
        <v>0</v>
      </c>
      <c r="U8">
        <f>U$7/(AJ3-(COUNTIF(U3:U6,"e")))*100</f>
        <v>20</v>
      </c>
      <c r="V8">
        <f>V$7/(AJ3-(COUNTIF(V3:V6,"e")))*100</f>
        <v>0</v>
      </c>
      <c r="W8">
        <f>W$7/(AJ3-(COUNTIF(W3:W6,"e")))*100</f>
        <v>20</v>
      </c>
      <c r="X8">
        <f>X$7/(AJ3-(COUNTIF(X3:X6,"e")))*100</f>
        <v>0</v>
      </c>
      <c r="Y8">
        <f>Y$7/(AJ3-(COUNTIF(Y3:Y6,"e")))*100</f>
        <v>0</v>
      </c>
      <c r="Z8">
        <f>Z$7/(AJ3-(COUNTIF(Z3:Z6,"e")))*100</f>
        <v>20</v>
      </c>
      <c r="AA8">
        <f>AA$7/(AJ3-(COUNTIF(AA3:AA6,"e")))*100</f>
        <v>0</v>
      </c>
      <c r="AB8">
        <f>AB$7/(AJ3-(COUNTIF(AB3:AB6,"e")))*100</f>
        <v>0</v>
      </c>
      <c r="AC8">
        <f>AC$7/(AJ3-(COUNTIF(AC3:AC6,"e")))*100</f>
        <v>20</v>
      </c>
      <c r="AD8">
        <f>AD$7/(AJ3-(COUNTIF(AD3:AD6,"e")))*100</f>
        <v>0</v>
      </c>
      <c r="AE8">
        <f>AE$7/(AJ3-(COUNTIF(AE3:AE6,"e")))*100</f>
        <v>20</v>
      </c>
      <c r="AF8">
        <f>AF$7/(AJ3-(COUNTIF(AF3:AF6,"e")))*100</f>
        <v>20</v>
      </c>
      <c r="AG8">
        <f>AG$7/(AJ3-(COUNTIF(AG3:AG6,"e")))*100</f>
        <v>63.333333333333329</v>
      </c>
      <c r="AH8">
        <f>AH$7/(AJ3-(COUNTIF(AH3:AH6,"e")))*100</f>
        <v>36.666666666666664</v>
      </c>
      <c r="AN8" s="1"/>
      <c r="AO8" s="1"/>
      <c r="AP8" s="1"/>
      <c r="AQ8" s="1"/>
      <c r="AR8" s="1"/>
      <c r="AS8" s="1"/>
    </row>
    <row r="9" spans="1:45" x14ac:dyDescent="0.25">
      <c r="D9" s="22"/>
      <c r="E9">
        <f>IF(COUNTA(E3:E6)&lt;ROWS(E3:E6),0,1)</f>
        <v>1</v>
      </c>
      <c r="F9">
        <f>IF(COUNTA(F3:F6)&lt;ROWS(F3:F6),0,1)</f>
        <v>1</v>
      </c>
      <c r="G9">
        <f>IF(COUNTA(G3:G6)&lt;ROWS(G3:G6),0,1)</f>
        <v>1</v>
      </c>
      <c r="H9">
        <f>IF(COUNTA(H3:H6)&lt;ROWS(H3:H6),0,1)</f>
        <v>1</v>
      </c>
      <c r="I9">
        <f>IF(COUNTA(I3:I6)&lt;ROWS(I3:I6),0,1)</f>
        <v>1</v>
      </c>
      <c r="J9">
        <f>IF(COUNTA(J3:J6)&lt;ROWS(J3:J6),0,1)</f>
        <v>1</v>
      </c>
      <c r="K9">
        <f>IF(COUNTA(K3:K6)&lt;ROWS(K3:K6),0,1)</f>
        <v>1</v>
      </c>
      <c r="L9">
        <f>IF(COUNTA(L3:L6)&lt;ROWS(L3:L6),0,1)</f>
        <v>1</v>
      </c>
      <c r="M9">
        <f>IF(COUNTA(M3:M6)&lt;ROWS(M3:M6),0,1)</f>
        <v>1</v>
      </c>
      <c r="N9">
        <f>IF(COUNTA(N3:N6)&lt;ROWS(N3:N6),0,1)</f>
        <v>1</v>
      </c>
      <c r="O9">
        <f>IF(COUNTA(O3:O6)&lt;ROWS(O3:O6),0,1)</f>
        <v>1</v>
      </c>
      <c r="P9">
        <f>IF(COUNTA(P3:P6)&lt;ROWS(P3:P6),0,1)</f>
        <v>1</v>
      </c>
      <c r="Q9">
        <f>IF(COUNTA(Q3:Q6)&lt;ROWS(Q3:Q6),0,1)</f>
        <v>1</v>
      </c>
      <c r="R9">
        <f>IF(COUNTA(R3:R6)&lt;ROWS(R3:R6),0,1)</f>
        <v>1</v>
      </c>
      <c r="S9">
        <f>IF(COUNTA(S3:S6)&lt;ROWS(S3:S6),0,1)</f>
        <v>1</v>
      </c>
      <c r="T9">
        <f>IF(COUNTA(T3:T6)&lt;ROWS(T3:T6),0,1)</f>
        <v>1</v>
      </c>
      <c r="U9">
        <f>IF(COUNTA(U3:U6)&lt;ROWS(U3:U6),0,1)</f>
        <v>1</v>
      </c>
      <c r="V9">
        <f>IF(COUNTA(V3:V6)&lt;ROWS(V3:V6),0,1)</f>
        <v>1</v>
      </c>
      <c r="W9">
        <f>IF(COUNTA(W3:W6)&lt;ROWS(W3:W6),0,1)</f>
        <v>1</v>
      </c>
      <c r="X9">
        <f>IF(COUNTA(X3:X6)&lt;ROWS(X3:X6),0,1)</f>
        <v>1</v>
      </c>
      <c r="Y9">
        <f>IF(COUNTA(Y3:Y6)&lt;ROWS(Y3:Y6),0,1)</f>
        <v>1</v>
      </c>
      <c r="Z9">
        <f>IF(COUNTA(Z3:Z6)&lt;ROWS(Z3:Z6),0,1)</f>
        <v>1</v>
      </c>
      <c r="AA9">
        <f>IF(COUNTA(AA3:AA6)&lt;ROWS(AA3:AA6),0,1)</f>
        <v>1</v>
      </c>
      <c r="AB9">
        <f>IF(COUNTA(AB3:AB6)&lt;ROWS(AB3:AB6),0,1)</f>
        <v>1</v>
      </c>
      <c r="AC9">
        <f>IF(COUNTA(AC3:AC6)&lt;ROWS(AC3:AC6),0,1)</f>
        <v>1</v>
      </c>
      <c r="AD9">
        <f>IF(COUNTA(AD3:AD6)&lt;ROWS(AD3:AD6),0,1)</f>
        <v>1</v>
      </c>
      <c r="AE9">
        <f>IF(COUNTA(AE3:AE6)&lt;ROWS(AE3:AE6),0,1)</f>
        <v>1</v>
      </c>
      <c r="AF9">
        <f>IF(COUNTA(AF3:AF6)&lt;ROWS(AF3:AF6),0,1)</f>
        <v>1</v>
      </c>
      <c r="AG9">
        <f>IF(COUNTA(AG3:AG6)&lt;ROWS(AG3:AG6),0,1)</f>
        <v>1</v>
      </c>
      <c r="AH9">
        <f>IF(COUNTA(AH3:AH6)&lt;ROWS(AH3:AH6),0,1)</f>
        <v>1</v>
      </c>
      <c r="AN9" s="1"/>
      <c r="AO9" s="1"/>
      <c r="AP9" s="1"/>
      <c r="AQ9" s="1"/>
      <c r="AR9" s="1"/>
      <c r="AS9" s="1"/>
    </row>
    <row r="10" spans="1:45" x14ac:dyDescent="0.25">
      <c r="D10" s="22"/>
      <c r="AI10">
        <f>(SUM(AI3:AI6)/SUM(AJ3:AJ6))*100</f>
        <v>95</v>
      </c>
      <c r="AN10" s="1"/>
      <c r="AO10" s="1"/>
      <c r="AP10" s="1"/>
      <c r="AQ10" s="1"/>
      <c r="AR10" s="1"/>
      <c r="AS10" s="1"/>
    </row>
    <row r="11" spans="1:45" x14ac:dyDescent="0.25">
      <c r="B11" t="s">
        <v>19</v>
      </c>
      <c r="C11" t="s">
        <v>20</v>
      </c>
      <c r="D11" s="22">
        <f>AVERAGE(D3:D6)</f>
        <v>95</v>
      </c>
      <c r="AN11" s="1"/>
      <c r="AO11" s="1"/>
      <c r="AP11" s="1"/>
      <c r="AQ11" s="1"/>
      <c r="AR11" s="1"/>
      <c r="AS11" s="1"/>
    </row>
    <row r="12" spans="1:45" x14ac:dyDescent="0.25">
      <c r="AN12" s="1"/>
      <c r="AO12" s="1"/>
      <c r="AP12" s="1"/>
      <c r="AQ12" s="1"/>
      <c r="AR12" s="1"/>
      <c r="AS12" s="1"/>
    </row>
    <row r="13" spans="1:45" x14ac:dyDescent="0.25">
      <c r="AQ13" s="1"/>
      <c r="AR13" s="1"/>
      <c r="AS13" s="1"/>
    </row>
    <row r="14" spans="1:45" ht="16.5" x14ac:dyDescent="0.25">
      <c r="A14" s="25" t="s">
        <v>27</v>
      </c>
      <c r="B14" s="25" t="s">
        <v>26</v>
      </c>
      <c r="C14" s="25" t="s">
        <v>52</v>
      </c>
      <c r="AQ14" s="1"/>
      <c r="AR14" s="1"/>
      <c r="AS14" s="1"/>
    </row>
    <row r="15" spans="1:45" ht="16.5" x14ac:dyDescent="0.25">
      <c r="A15" s="23">
        <v>1</v>
      </c>
      <c r="B15" s="23" t="s">
        <v>53</v>
      </c>
      <c r="C15" s="23">
        <v>1</v>
      </c>
      <c r="AQ15" s="1"/>
      <c r="AR15" s="1"/>
      <c r="AS15" s="1"/>
    </row>
    <row r="16" spans="1:45" ht="16.5" x14ac:dyDescent="0.25">
      <c r="A16" s="23">
        <v>2</v>
      </c>
      <c r="B16" s="23" t="s">
        <v>54</v>
      </c>
      <c r="C16" s="23">
        <v>1</v>
      </c>
      <c r="AQ16" s="1"/>
      <c r="AR16" s="1"/>
      <c r="AS16" s="1"/>
    </row>
    <row r="17" spans="1:45" ht="16.5" x14ac:dyDescent="0.25">
      <c r="A17" s="23">
        <v>3</v>
      </c>
      <c r="B17" s="23" t="s">
        <v>55</v>
      </c>
      <c r="C17" s="23">
        <v>1</v>
      </c>
      <c r="AQ17" s="1"/>
      <c r="AR17" s="1"/>
      <c r="AS17" s="1"/>
    </row>
    <row r="18" spans="1:45" ht="16.5" x14ac:dyDescent="0.25">
      <c r="A18" s="23">
        <v>4</v>
      </c>
      <c r="B18" s="23" t="s">
        <v>28</v>
      </c>
      <c r="C18" s="23">
        <v>1</v>
      </c>
      <c r="AK18" s="13"/>
      <c r="AL18" s="13"/>
      <c r="AQ18" s="1"/>
      <c r="AR18" s="1"/>
      <c r="AS18" s="1"/>
    </row>
    <row r="19" spans="1:45" ht="16.5" x14ac:dyDescent="0.25">
      <c r="A19" s="23">
        <v>5</v>
      </c>
      <c r="B19" s="23" t="s">
        <v>29</v>
      </c>
      <c r="C19" s="23">
        <v>3</v>
      </c>
      <c r="AQ19" s="1"/>
      <c r="AR19" s="1"/>
      <c r="AS19" s="1"/>
    </row>
    <row r="20" spans="1:45" ht="16.5" x14ac:dyDescent="0.25">
      <c r="A20" s="23">
        <v>6</v>
      </c>
      <c r="B20" s="23" t="s">
        <v>30</v>
      </c>
      <c r="C20" s="23">
        <v>1</v>
      </c>
      <c r="AQ20" s="1"/>
      <c r="AR20" s="1"/>
      <c r="AS20" s="1"/>
    </row>
    <row r="21" spans="1:45" ht="16.5" x14ac:dyDescent="0.25">
      <c r="A21" s="23">
        <v>7</v>
      </c>
      <c r="B21" s="23" t="s">
        <v>31</v>
      </c>
      <c r="C21" s="23">
        <v>1</v>
      </c>
      <c r="AQ21" s="1"/>
      <c r="AR21" s="1"/>
      <c r="AS21" s="1"/>
    </row>
    <row r="22" spans="1:45" ht="16.5" x14ac:dyDescent="0.25">
      <c r="A22" s="23">
        <v>8</v>
      </c>
      <c r="B22" s="23" t="s">
        <v>32</v>
      </c>
      <c r="C22" s="23">
        <v>1</v>
      </c>
      <c r="AQ22" s="1"/>
      <c r="AR22" s="1"/>
      <c r="AS22" s="1"/>
    </row>
    <row r="23" spans="1:45" ht="16.5" x14ac:dyDescent="0.25">
      <c r="A23" s="23">
        <v>9</v>
      </c>
      <c r="B23" s="23" t="s">
        <v>33</v>
      </c>
      <c r="C23" s="23">
        <v>2</v>
      </c>
      <c r="AQ23" s="1"/>
      <c r="AR23" s="1"/>
      <c r="AS23" s="1"/>
    </row>
    <row r="24" spans="1:45" ht="16.5" x14ac:dyDescent="0.25">
      <c r="A24" s="23">
        <v>10</v>
      </c>
      <c r="B24" s="23" t="s">
        <v>34</v>
      </c>
      <c r="C24" s="23">
        <v>1</v>
      </c>
      <c r="AQ24" s="1"/>
      <c r="AR24" s="1"/>
      <c r="AS24" s="1"/>
    </row>
    <row r="25" spans="1:45" ht="16.5" x14ac:dyDescent="0.25">
      <c r="A25" s="23">
        <v>11</v>
      </c>
      <c r="B25" s="23" t="s">
        <v>35</v>
      </c>
      <c r="C25" s="23">
        <v>2</v>
      </c>
      <c r="AK25" t="s">
        <v>21</v>
      </c>
      <c r="AQ25" s="1"/>
      <c r="AR25" s="1"/>
      <c r="AS25" s="1"/>
    </row>
    <row r="26" spans="1:45" ht="16.5" x14ac:dyDescent="0.25">
      <c r="A26" s="23">
        <v>12</v>
      </c>
      <c r="B26" s="23" t="s">
        <v>36</v>
      </c>
      <c r="C26" s="23">
        <v>2</v>
      </c>
      <c r="AQ26" s="1"/>
      <c r="AR26" s="1"/>
      <c r="AS26" s="1"/>
    </row>
    <row r="27" spans="1:45" ht="16.5" x14ac:dyDescent="0.25">
      <c r="A27" s="23">
        <v>13</v>
      </c>
      <c r="B27" s="23" t="s">
        <v>37</v>
      </c>
      <c r="C27" s="23">
        <v>2</v>
      </c>
    </row>
    <row r="28" spans="1:45" ht="16.5" x14ac:dyDescent="0.25">
      <c r="A28" s="23">
        <v>14</v>
      </c>
      <c r="B28" s="23" t="s">
        <v>38</v>
      </c>
      <c r="C28" s="23">
        <v>2</v>
      </c>
    </row>
    <row r="29" spans="1:45" ht="16.5" x14ac:dyDescent="0.25">
      <c r="A29" s="23">
        <v>15</v>
      </c>
      <c r="B29" s="23" t="s">
        <v>39</v>
      </c>
      <c r="C29" s="23">
        <v>2</v>
      </c>
    </row>
    <row r="30" spans="1:45" ht="16.5" x14ac:dyDescent="0.25">
      <c r="A30" s="23">
        <v>16</v>
      </c>
      <c r="B30" s="23" t="s">
        <v>40</v>
      </c>
      <c r="C30" s="23">
        <v>1</v>
      </c>
    </row>
    <row r="31" spans="1:45" ht="16.5" x14ac:dyDescent="0.25">
      <c r="A31" s="23">
        <v>17</v>
      </c>
      <c r="B31" s="23" t="s">
        <v>41</v>
      </c>
      <c r="C31" s="23">
        <v>1</v>
      </c>
    </row>
    <row r="32" spans="1:45" ht="16.5" x14ac:dyDescent="0.25">
      <c r="A32" s="23">
        <v>18</v>
      </c>
      <c r="B32" s="23" t="s">
        <v>42</v>
      </c>
      <c r="C32" s="23">
        <v>1</v>
      </c>
    </row>
    <row r="33" spans="1:3" ht="16.5" x14ac:dyDescent="0.25">
      <c r="A33" s="23">
        <v>19</v>
      </c>
      <c r="B33" s="23" t="s">
        <v>43</v>
      </c>
      <c r="C33" s="23">
        <v>1</v>
      </c>
    </row>
    <row r="34" spans="1:3" ht="16.5" x14ac:dyDescent="0.25">
      <c r="A34" s="23">
        <v>20</v>
      </c>
      <c r="B34" s="23" t="s">
        <v>44</v>
      </c>
      <c r="C34" s="23">
        <v>1</v>
      </c>
    </row>
    <row r="35" spans="1:3" ht="16.5" x14ac:dyDescent="0.25">
      <c r="A35" s="23">
        <v>21</v>
      </c>
      <c r="B35" s="23" t="s">
        <v>45</v>
      </c>
      <c r="C35" s="23">
        <v>1</v>
      </c>
    </row>
    <row r="36" spans="1:3" ht="16.5" x14ac:dyDescent="0.25">
      <c r="A36" s="23">
        <v>22</v>
      </c>
      <c r="B36" s="23" t="s">
        <v>46</v>
      </c>
      <c r="C36" s="23">
        <v>1</v>
      </c>
    </row>
    <row r="37" spans="1:3" ht="16.5" x14ac:dyDescent="0.25">
      <c r="A37" s="23">
        <v>23</v>
      </c>
      <c r="B37" s="23" t="s">
        <v>47</v>
      </c>
      <c r="C37" s="23">
        <v>1</v>
      </c>
    </row>
    <row r="38" spans="1:3" ht="16.5" x14ac:dyDescent="0.25">
      <c r="A38" s="23">
        <v>24</v>
      </c>
      <c r="B38" s="24" t="s">
        <v>48</v>
      </c>
      <c r="C38" s="23">
        <v>1</v>
      </c>
    </row>
    <row r="39" spans="1:3" ht="16.5" x14ac:dyDescent="0.25">
      <c r="A39" s="23">
        <v>25</v>
      </c>
      <c r="B39" s="24" t="s">
        <v>49</v>
      </c>
      <c r="C39" s="23">
        <v>1</v>
      </c>
    </row>
    <row r="40" spans="1:3" ht="16.5" x14ac:dyDescent="0.25">
      <c r="A40" s="23">
        <v>26</v>
      </c>
      <c r="B40" s="24" t="s">
        <v>50</v>
      </c>
      <c r="C40" s="23">
        <v>2</v>
      </c>
    </row>
    <row r="41" spans="1:3" ht="16.5" x14ac:dyDescent="0.25">
      <c r="A41" s="23">
        <v>27</v>
      </c>
      <c r="B41" s="24" t="s">
        <v>51</v>
      </c>
      <c r="C41" s="23">
        <v>1</v>
      </c>
    </row>
    <row r="42" spans="1:3" ht="16.5" x14ac:dyDescent="0.25">
      <c r="A42" s="24">
        <v>28</v>
      </c>
      <c r="B42" s="24" t="s">
        <v>56</v>
      </c>
      <c r="C42" s="24">
        <v>3</v>
      </c>
    </row>
    <row r="43" spans="1:3" x14ac:dyDescent="0.25">
      <c r="C43" s="26">
        <f>SUM(C15:C42)*4</f>
        <v>156</v>
      </c>
    </row>
  </sheetData>
  <mergeCells count="2">
    <mergeCell ref="E1:AH1"/>
    <mergeCell ref="AJ1:AJ2"/>
  </mergeCells>
  <phoneticPr fontId="8" type="noConversion"/>
  <conditionalFormatting sqref="D3:D6">
    <cfRule type="cellIs" dxfId="4" priority="1" operator="lessThan">
      <formula>60</formula>
    </cfRule>
    <cfRule type="cellIs" dxfId="3" priority="2" operator="greaterThanOrEqual">
      <formula>60</formula>
    </cfRule>
  </conditionalFormatting>
  <conditionalFormatting sqref="E3:AH6">
    <cfRule type="containsBlanks" dxfId="2" priority="3">
      <formula>LEN(TRIM(E3))=0</formula>
    </cfRule>
  </conditionalFormatting>
  <conditionalFormatting sqref="E3:AH6">
    <cfRule type="cellIs" dxfId="1" priority="4" operator="greaterThan">
      <formula>0</formula>
    </cfRule>
    <cfRule type="cellIs" dxfId="0" priority="5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Nagarajan Ganesh Kumar, TV-4352</dc:creator>
  <cp:lastModifiedBy>Nagarajan Ganesh Kumar, TV-4352</cp:lastModifiedBy>
  <dcterms:created xsi:type="dcterms:W3CDTF">2015-06-05T18:19:34Z</dcterms:created>
  <dcterms:modified xsi:type="dcterms:W3CDTF">2025-12-26T02:55:58Z</dcterms:modified>
</cp:coreProperties>
</file>